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cuent\Downloads\"/>
    </mc:Choice>
  </mc:AlternateContent>
  <xr:revisionPtr revIDLastSave="0" documentId="13_ncr:1_{C4528EF9-B298-45DC-A42A-B9689F8C6358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EMPAQUE" sheetId="2" r:id="rId1"/>
    <sheet name="CONTROL  DE TROQUELADO" sheetId="1" r:id="rId2"/>
  </sheets>
  <definedNames>
    <definedName name="_xlnm.Print_Area" localSheetId="0">EMPAQUE!$B$1:$F$40</definedName>
  </definedNames>
  <calcPr calcId="181029"/>
</workbook>
</file>

<file path=xl/calcChain.xml><?xml version="1.0" encoding="utf-8"?>
<calcChain xmlns="http://schemas.openxmlformats.org/spreadsheetml/2006/main">
  <c r="H17" i="1" l="1"/>
  <c r="G17" i="1"/>
  <c r="H10" i="1"/>
  <c r="G10" i="1"/>
  <c r="E10" i="1"/>
  <c r="C10" i="1"/>
</calcChain>
</file>

<file path=xl/sharedStrings.xml><?xml version="1.0" encoding="utf-8"?>
<sst xmlns="http://schemas.openxmlformats.org/spreadsheetml/2006/main" count="51" uniqueCount="47">
  <si>
    <t>CONTROL DE TROQUELADO</t>
  </si>
  <si>
    <t>H.I</t>
  </si>
  <si>
    <t>H.F</t>
  </si>
  <si>
    <t>ANILLAS BLANCAS</t>
  </si>
  <si>
    <t>MORDIDAS BLANCAS</t>
  </si>
  <si>
    <t>ANILLAS AMARILLAS</t>
  </si>
  <si>
    <t>MORDIDAS AMARILLAS</t>
  </si>
  <si>
    <t>BOTÓN</t>
  </si>
  <si>
    <t>RECORTE</t>
  </si>
  <si>
    <t>TOTAL</t>
  </si>
  <si>
    <t>OBSERVACIONES</t>
  </si>
  <si>
    <t>Kg/Hr</t>
  </si>
  <si>
    <t>7:08</t>
  </si>
  <si>
    <t>1:08</t>
  </si>
  <si>
    <t>4 × 20
8 × 20
7 × 20</t>
  </si>
  <si>
    <t>7.74
kg</t>
  </si>
  <si>
    <t>13.73
11.91</t>
  </si>
  <si>
    <t>5 × 20</t>
  </si>
  <si>
    <t>6 × 20
8 × 20
3 × 20</t>
  </si>
  <si>
    <t>2:30</t>
  </si>
  <si>
    <t>6 × 20.6
3 × 40
7 × 20
3 × 20
2.17
3 × 20
17.95</t>
  </si>
  <si>
    <t>10.82
kg</t>
  </si>
  <si>
    <t>4.73
kg</t>
  </si>
  <si>
    <t>4 × 20
22.90</t>
  </si>
  <si>
    <t>13 × 20
5 × 20
25.90</t>
  </si>
  <si>
    <t>TOTAL GENERAL</t>
  </si>
  <si>
    <t>Jefe de Producción</t>
  </si>
  <si>
    <t>Supervisor (a)</t>
  </si>
  <si>
    <t>Kg</t>
  </si>
  <si>
    <t>TOTAL DE EMPAQUE</t>
  </si>
  <si>
    <t>TOTAL S/</t>
  </si>
  <si>
    <t xml:space="preserve">PESO x CARRO </t>
  </si>
  <si>
    <t>PLACA DE CARRO</t>
  </si>
  <si>
    <t>N°</t>
  </si>
  <si>
    <t>RESUMEN:</t>
  </si>
  <si>
    <t>IMPORTE  S/</t>
  </si>
  <si>
    <t>PESO Kgr</t>
  </si>
  <si>
    <t>MENÚ / CENA</t>
  </si>
  <si>
    <t>NOMBRES Y APELLIDOS</t>
  </si>
  <si>
    <t xml:space="preserve">N° </t>
  </si>
  <si>
    <t>TURNO : …...................................................................</t>
  </si>
  <si>
    <t>Hra Sda.</t>
  </si>
  <si>
    <t>SUPERVISOR(a) : …........................................................</t>
  </si>
  <si>
    <t>FECHA : …....................................................................</t>
  </si>
  <si>
    <t>PRODUCTO : ….............................................................</t>
  </si>
  <si>
    <t>Hra Ingr.</t>
  </si>
  <si>
    <t>CLIENTE :  …..................................................................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</si>
</sst>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22" x14ac:knownFonts="1">
    <font>
      <sz val="11"/>
      <name val="Carlito"/>
    </font>
    <font>
      <sz val="11"/>
      <color theme="1"/>
      <name val="Calibri"/>
      <family val="2"/>
      <scheme val="minor"/>
    </font>
    <font>
      <b/>
      <sz val="17"/>
      <color rgb="FF000000"/>
      <name val="Carlito"/>
    </font>
    <font>
      <b/>
      <sz val="9"/>
      <color rgb="FF000000"/>
      <name val="Carlito"/>
    </font>
    <font>
      <b/>
      <sz val="13"/>
      <color rgb="FF1F1F1F"/>
      <name val="Carlito"/>
    </font>
    <font>
      <sz val="12"/>
      <color rgb="FF1F1F1F"/>
      <name val="Carlito"/>
    </font>
    <font>
      <b/>
      <sz val="12"/>
      <color rgb="FF1F1F1F"/>
      <name val="Carlito"/>
    </font>
    <font>
      <sz val="11"/>
      <color rgb="FF1F1F1F"/>
      <name val="Carlito"/>
    </font>
    <font>
      <b/>
      <sz val="12"/>
      <color rgb="FF000000"/>
      <name val="Carlito"/>
    </font>
    <font>
      <b/>
      <sz val="14"/>
      <color rgb="FF000000"/>
      <name val="Carlito"/>
    </font>
    <font>
      <sz val="11"/>
      <color theme="0"/>
      <name val="Calibri"/>
      <family val="2"/>
      <scheme val="minor"/>
    </font>
    <font>
      <b/>
      <sz val="12"/>
      <color rgb="FF002060"/>
      <name val="Calibri"/>
      <family val="2"/>
      <scheme val="minor"/>
    </font>
    <font>
      <sz val="11"/>
      <color rgb="FF002060"/>
      <name val="Calibri"/>
      <family val="2"/>
      <scheme val="minor"/>
    </font>
    <font>
      <sz val="12"/>
      <color rgb="FF002060"/>
      <name val="Calibri"/>
      <family val="2"/>
      <scheme val="minor"/>
    </font>
    <font>
      <b/>
      <sz val="14"/>
      <color rgb="FF00206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2"/>
      <color theme="1" tint="0.249977111117893"/>
      <name val="Calibri"/>
      <family val="2"/>
      <scheme val="minor"/>
    </font>
    <font>
      <b/>
      <sz val="8"/>
      <color rgb="FF002060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5"/>
      <color theme="1" tint="0.499984740745262"/>
      <name val="Calibri"/>
      <family val="2"/>
      <scheme val="minor"/>
    </font>
    <font>
      <b/>
      <sz val="20"/>
      <color theme="1" tint="0.249977111117893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B7B7B7"/>
      </patternFill>
    </fill>
    <fill>
      <patternFill patternType="solid">
        <fgColor rgb="FFF4A261"/>
      </patternFill>
    </fill>
    <fill>
      <patternFill patternType="solid">
        <fgColor rgb="FFFFFFFF"/>
      </patternFill>
    </fill>
    <fill>
      <patternFill patternType="solid">
        <fgColor rgb="FFE7E6E6"/>
      </patternFill>
    </fill>
    <fill>
      <patternFill patternType="solid">
        <fgColor theme="8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hair">
        <color rgb="FF002060"/>
      </bottom>
      <diagonal/>
    </border>
    <border>
      <left style="hair">
        <color rgb="FF002060"/>
      </left>
      <right style="hair">
        <color rgb="FF002060"/>
      </right>
      <top style="hair">
        <color rgb="FF002060"/>
      </top>
      <bottom style="hair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</borders>
  <cellStyleXfs count="3">
    <xf numFmtId="0" fontId="0" fillId="0" borderId="0"/>
    <xf numFmtId="0" fontId="1" fillId="0" borderId="1"/>
    <xf numFmtId="0" fontId="10" fillId="6" borderId="1" applyNumberFormat="0" applyBorder="0" applyAlignment="0" applyProtection="0"/>
  </cellStyleXfs>
  <cellXfs count="49">
    <xf numFmtId="0" fontId="0" fillId="0" borderId="0" xfId="0"/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2" fontId="6" fillId="3" borderId="5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right" vertical="center"/>
    </xf>
    <xf numFmtId="0" fontId="8" fillId="5" borderId="7" xfId="0" applyFont="1" applyFill="1" applyBorder="1" applyAlignment="1">
      <alignment horizontal="right" vertical="center"/>
    </xf>
    <xf numFmtId="0" fontId="8" fillId="5" borderId="8" xfId="0" applyFont="1" applyFill="1" applyBorder="1" applyAlignment="1">
      <alignment horizontal="right" vertical="center"/>
    </xf>
    <xf numFmtId="2" fontId="9" fillId="3" borderId="6" xfId="0" applyNumberFormat="1" applyFont="1" applyFill="1" applyBorder="1" applyAlignment="1">
      <alignment horizontal="center" vertical="center"/>
    </xf>
    <xf numFmtId="2" fontId="9" fillId="3" borderId="8" xfId="0" applyNumberFormat="1" applyFont="1" applyFill="1" applyBorder="1" applyAlignment="1">
      <alignment horizontal="center" vertical="center"/>
    </xf>
    <xf numFmtId="0" fontId="1" fillId="0" borderId="1" xfId="1"/>
    <xf numFmtId="0" fontId="11" fillId="0" borderId="1" xfId="1" applyFont="1" applyAlignment="1">
      <alignment horizontal="center"/>
    </xf>
    <xf numFmtId="0" fontId="12" fillId="0" borderId="1" xfId="1" applyFont="1"/>
    <xf numFmtId="0" fontId="11" fillId="0" borderId="1" xfId="1" applyFont="1" applyAlignment="1">
      <alignment horizontal="center"/>
    </xf>
    <xf numFmtId="0" fontId="12" fillId="0" borderId="9" xfId="1" applyFont="1" applyBorder="1"/>
    <xf numFmtId="0" fontId="13" fillId="0" borderId="1" xfId="1" applyFont="1"/>
    <xf numFmtId="0" fontId="11" fillId="0" borderId="10" xfId="1" applyFont="1" applyBorder="1" applyAlignment="1">
      <alignment horizontal="right"/>
    </xf>
    <xf numFmtId="0" fontId="12" fillId="0" borderId="10" xfId="1" applyFont="1" applyBorder="1"/>
    <xf numFmtId="0" fontId="15" fillId="0" borderId="10" xfId="1" applyFont="1" applyBorder="1" applyAlignment="1">
      <alignment horizontal="center" vertical="center"/>
    </xf>
    <xf numFmtId="0" fontId="16" fillId="7" borderId="1" xfId="2" applyFont="1" applyFill="1" applyBorder="1" applyAlignment="1">
      <alignment vertical="center"/>
    </xf>
    <xf numFmtId="0" fontId="14" fillId="8" borderId="10" xfId="1" applyFont="1" applyFill="1" applyBorder="1" applyAlignment="1">
      <alignment horizontal="left" vertical="center"/>
    </xf>
    <xf numFmtId="0" fontId="12" fillId="0" borderId="10" xfId="1" applyFont="1" applyBorder="1" applyAlignment="1">
      <alignment horizontal="center"/>
    </xf>
    <xf numFmtId="0" fontId="11" fillId="0" borderId="10" xfId="1" applyFont="1" applyBorder="1" applyAlignment="1">
      <alignment horizontal="center"/>
    </xf>
    <xf numFmtId="0" fontId="13" fillId="0" borderId="10" xfId="1" applyFont="1" applyBorder="1" applyAlignment="1">
      <alignment horizontal="center"/>
    </xf>
    <xf numFmtId="0" fontId="18" fillId="0" borderId="1" xfId="1" applyFont="1" applyAlignment="1">
      <alignment vertical="top"/>
    </xf>
    <xf numFmtId="0" fontId="1" fillId="0" borderId="1" xfId="1" applyAlignment="1">
      <alignment horizontal="center"/>
    </xf>
    <xf numFmtId="0" fontId="14" fillId="0" borderId="11" xfId="1" applyFont="1" applyBorder="1" applyAlignment="1">
      <alignment horizontal="left" vertical="center"/>
    </xf>
    <xf numFmtId="0" fontId="18" fillId="0" borderId="1" xfId="1" applyFont="1" applyAlignment="1">
      <alignment horizontal="left" vertical="top"/>
    </xf>
    <xf numFmtId="0" fontId="19" fillId="0" borderId="1" xfId="1" applyFont="1" applyAlignment="1">
      <alignment horizontal="left" vertical="center"/>
    </xf>
    <xf numFmtId="0" fontId="20" fillId="0" borderId="1" xfId="1" applyFont="1" applyAlignment="1">
      <alignment vertical="center"/>
    </xf>
    <xf numFmtId="0" fontId="21" fillId="0" borderId="1" xfId="1" applyFont="1" applyAlignment="1">
      <alignment horizontal="center" vertical="center"/>
    </xf>
    <xf numFmtId="0" fontId="11" fillId="9" borderId="10" xfId="2" applyFont="1" applyFill="1" applyBorder="1" applyAlignment="1">
      <alignment horizontal="center" vertical="center"/>
    </xf>
    <xf numFmtId="164" fontId="17" fillId="9" borderId="10" xfId="2" applyNumberFormat="1" applyFont="1" applyFill="1" applyBorder="1" applyAlignment="1">
      <alignment horizontal="center" vertical="center"/>
    </xf>
    <xf numFmtId="0" fontId="11" fillId="9" borderId="10" xfId="1" applyFont="1" applyFill="1" applyBorder="1" applyAlignment="1">
      <alignment horizontal="center" vertical="center"/>
    </xf>
    <xf numFmtId="0" fontId="11" fillId="9" borderId="10" xfId="2" applyFont="1" applyFill="1" applyBorder="1" applyAlignment="1">
      <alignment horizontal="center" vertical="center"/>
    </xf>
    <xf numFmtId="0" fontId="12" fillId="9" borderId="10" xfId="1" applyFont="1" applyFill="1" applyBorder="1" applyAlignment="1">
      <alignment horizontal="center"/>
    </xf>
    <xf numFmtId="0" fontId="11" fillId="9" borderId="10" xfId="1" applyFont="1" applyFill="1" applyBorder="1" applyAlignment="1">
      <alignment horizontal="center" vertical="center"/>
    </xf>
    <xf numFmtId="0" fontId="14" fillId="9" borderId="10" xfId="1" applyFont="1" applyFill="1" applyBorder="1" applyAlignment="1">
      <alignment horizontal="right"/>
    </xf>
  </cellXfs>
  <cellStyles count="3">
    <cellStyle name="Énfasis5 2" xfId="2" xr:uid="{44F09335-CF4F-44D2-BC43-20B3E3B2A2AB}"/>
    <cellStyle name="Normal" xfId="0" builtinId="0"/>
    <cellStyle name="Normal 2" xfId="1" xr:uid="{0183F222-43AD-4733-8DA9-F714EBB05F3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81031</xdr:colOff>
      <xdr:row>0</xdr:row>
      <xdr:rowOff>184865</xdr:rowOff>
    </xdr:from>
    <xdr:ext cx="1976369" cy="958136"/>
    <xdr:pic>
      <xdr:nvPicPr>
        <xdr:cNvPr id="2" name="Imagen 1">
          <a:extLst>
            <a:ext uri="{FF2B5EF4-FFF2-40B4-BE49-F238E27FC236}">
              <a16:creationId xmlns:a16="http://schemas.microsoft.com/office/drawing/2014/main" id="{233FFDB9-997E-4A03-A7C7-9A7ACF0EA9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3031" y="184865"/>
          <a:ext cx="1976369" cy="958136"/>
        </a:xfrm>
        <a:prstGeom prst="rect">
          <a:avLst/>
        </a:prstGeom>
      </xdr:spPr>
    </xdr:pic>
    <xdr:clientData/>
  </xdr:oneCellAnchor>
  <xdr:oneCellAnchor>
    <xdr:from>
      <xdr:col>2</xdr:col>
      <xdr:colOff>1400175</xdr:colOff>
      <xdr:row>1</xdr:row>
      <xdr:rowOff>114300</xdr:rowOff>
    </xdr:from>
    <xdr:ext cx="3962400" cy="468013"/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2588728-7040-491C-BA62-BF84803FA636}"/>
            </a:ext>
          </a:extLst>
        </xdr:cNvPr>
        <xdr:cNvSpPr/>
      </xdr:nvSpPr>
      <xdr:spPr>
        <a:xfrm>
          <a:off x="2286000" y="304800"/>
          <a:ext cx="3962400" cy="46801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2400" b="1" i="0" u="none" strike="noStrike" kern="0" cap="none" spc="0" normalizeH="0" baseline="0" noProof="0">
              <a:ln w="0"/>
              <a:solidFill>
                <a:srgbClr val="002060"/>
              </a:solidFill>
              <a:effectLst>
                <a:outerShdw blurRad="38100" dist="19050" dir="2700000" algn="tl" rotWithShape="0">
                  <a:sysClr val="windowText" lastClr="000000">
                    <a:alpha val="40000"/>
                  </a:sysClr>
                </a:outerShdw>
              </a:effectLst>
              <a:uLnTx/>
              <a:uFillTx/>
            </a:rPr>
            <a:t>PERSONAL - TROQUELADO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BA9B9-DF76-4B67-BE5A-9F291033B061}">
  <sheetPr>
    <pageSetUpPr fitToPage="1"/>
  </sheetPr>
  <dimension ref="B3:G40"/>
  <sheetViews>
    <sheetView showGridLines="0" topLeftCell="B11" workbookViewId="0">
      <selection activeCell="G32" sqref="G32"/>
    </sheetView>
  </sheetViews>
  <sheetFormatPr baseColWidth="10" defaultRowHeight="15" x14ac:dyDescent="0.25"/>
  <cols>
    <col min="1" max="1" width="0" style="21" hidden="1" customWidth="1"/>
    <col min="2" max="2" width="5.375" style="21" customWidth="1"/>
    <col min="3" max="3" width="53.125" style="21" customWidth="1"/>
    <col min="4" max="4" width="9" style="21" customWidth="1"/>
    <col min="5" max="5" width="17.25" style="21" customWidth="1"/>
    <col min="6" max="6" width="20.375" style="21" customWidth="1"/>
    <col min="7" max="16384" width="11" style="21"/>
  </cols>
  <sheetData>
    <row r="3" spans="2:6" ht="18.75" customHeight="1" x14ac:dyDescent="0.25"/>
    <row r="4" spans="2:6" ht="15" customHeight="1" x14ac:dyDescent="0.25">
      <c r="D4" s="41"/>
      <c r="E4" s="41"/>
    </row>
    <row r="5" spans="2:6" ht="15" customHeight="1" x14ac:dyDescent="0.25">
      <c r="C5" s="40"/>
      <c r="D5" s="41"/>
      <c r="E5" s="41"/>
    </row>
    <row r="6" spans="2:6" ht="15" customHeight="1" x14ac:dyDescent="0.25">
      <c r="C6" s="40"/>
      <c r="D6" s="40"/>
      <c r="E6" s="40"/>
    </row>
    <row r="7" spans="2:6" ht="21" customHeight="1" x14ac:dyDescent="0.25">
      <c r="B7" s="38" t="s">
        <v>46</v>
      </c>
      <c r="C7" s="38"/>
      <c r="D7" s="37" t="s">
        <v>45</v>
      </c>
      <c r="E7" s="37"/>
    </row>
    <row r="8" spans="2:6" ht="21" customHeight="1" x14ac:dyDescent="0.25">
      <c r="B8" s="38" t="s">
        <v>44</v>
      </c>
      <c r="C8" s="38"/>
      <c r="D8" s="37"/>
      <c r="E8" s="37"/>
    </row>
    <row r="9" spans="2:6" ht="21" customHeight="1" x14ac:dyDescent="0.25">
      <c r="B9" s="38" t="s">
        <v>43</v>
      </c>
      <c r="C9" s="38"/>
      <c r="D9" s="39"/>
      <c r="E9" s="39"/>
    </row>
    <row r="10" spans="2:6" ht="21" customHeight="1" x14ac:dyDescent="0.25">
      <c r="B10" s="38" t="s">
        <v>42</v>
      </c>
      <c r="C10" s="38"/>
      <c r="D10" s="37" t="s">
        <v>41</v>
      </c>
      <c r="E10" s="37"/>
    </row>
    <row r="11" spans="2:6" ht="21" customHeight="1" x14ac:dyDescent="0.25">
      <c r="B11" s="38" t="s">
        <v>40</v>
      </c>
      <c r="C11" s="38"/>
      <c r="D11" s="37"/>
      <c r="E11" s="37"/>
    </row>
    <row r="12" spans="2:6" ht="18.75" x14ac:dyDescent="0.25">
      <c r="B12" s="36"/>
      <c r="C12" s="35"/>
    </row>
    <row r="13" spans="2:6" ht="30" customHeight="1" x14ac:dyDescent="0.25">
      <c r="B13" s="42" t="s">
        <v>39</v>
      </c>
      <c r="C13" s="42" t="s">
        <v>38</v>
      </c>
      <c r="D13" s="43" t="s">
        <v>37</v>
      </c>
      <c r="E13" s="42" t="s">
        <v>36</v>
      </c>
      <c r="F13" s="42" t="s">
        <v>35</v>
      </c>
    </row>
    <row r="14" spans="2:6" ht="27" customHeight="1" x14ac:dyDescent="0.25">
      <c r="B14" s="33">
        <v>1</v>
      </c>
      <c r="C14" s="34"/>
      <c r="D14" s="28"/>
      <c r="E14" s="28"/>
      <c r="F14" s="32"/>
    </row>
    <row r="15" spans="2:6" ht="27" customHeight="1" x14ac:dyDescent="0.25">
      <c r="B15" s="33">
        <v>2</v>
      </c>
      <c r="C15" s="34"/>
      <c r="D15" s="28"/>
      <c r="E15" s="28"/>
      <c r="F15" s="32"/>
    </row>
    <row r="16" spans="2:6" ht="27" customHeight="1" x14ac:dyDescent="0.25">
      <c r="B16" s="33">
        <v>3</v>
      </c>
      <c r="C16" s="34"/>
      <c r="D16" s="28"/>
      <c r="E16" s="28"/>
      <c r="F16" s="28"/>
    </row>
    <row r="17" spans="2:7" ht="27" customHeight="1" x14ac:dyDescent="0.25">
      <c r="B17" s="33">
        <v>4</v>
      </c>
      <c r="C17" s="34"/>
      <c r="D17" s="28"/>
      <c r="E17" s="28"/>
      <c r="F17" s="28"/>
    </row>
    <row r="18" spans="2:7" ht="27" customHeight="1" x14ac:dyDescent="0.25">
      <c r="B18" s="33">
        <v>5</v>
      </c>
      <c r="C18" s="34"/>
      <c r="D18" s="28"/>
      <c r="E18" s="28"/>
      <c r="F18" s="28"/>
    </row>
    <row r="19" spans="2:7" ht="27" customHeight="1" x14ac:dyDescent="0.25">
      <c r="B19" s="33">
        <v>6</v>
      </c>
      <c r="C19" s="34"/>
      <c r="D19" s="28"/>
      <c r="E19" s="28"/>
      <c r="F19" s="28"/>
    </row>
    <row r="20" spans="2:7" ht="27" customHeight="1" x14ac:dyDescent="0.25">
      <c r="B20" s="33">
        <v>7</v>
      </c>
      <c r="C20" s="34"/>
      <c r="D20" s="28"/>
      <c r="E20" s="28"/>
      <c r="F20" s="28"/>
    </row>
    <row r="21" spans="2:7" ht="27" customHeight="1" x14ac:dyDescent="0.25">
      <c r="B21" s="33">
        <v>8</v>
      </c>
      <c r="C21" s="34"/>
      <c r="D21" s="28"/>
      <c r="E21" s="28"/>
      <c r="F21" s="28"/>
    </row>
    <row r="22" spans="2:7" ht="27" customHeight="1" x14ac:dyDescent="0.25">
      <c r="B22" s="33">
        <v>9</v>
      </c>
      <c r="C22" s="34"/>
      <c r="D22" s="28"/>
      <c r="E22" s="28"/>
      <c r="F22" s="28"/>
    </row>
    <row r="23" spans="2:7" ht="27" customHeight="1" x14ac:dyDescent="0.25">
      <c r="B23" s="33">
        <v>10</v>
      </c>
      <c r="C23" s="34"/>
      <c r="D23" s="28"/>
      <c r="E23" s="28"/>
      <c r="F23" s="28"/>
    </row>
    <row r="24" spans="2:7" ht="27" customHeight="1" x14ac:dyDescent="0.25">
      <c r="B24" s="33">
        <v>11</v>
      </c>
      <c r="C24" s="34"/>
      <c r="D24" s="28"/>
      <c r="E24" s="28"/>
      <c r="F24" s="28"/>
    </row>
    <row r="25" spans="2:7" ht="27" customHeight="1" x14ac:dyDescent="0.25">
      <c r="B25" s="33">
        <v>12</v>
      </c>
      <c r="C25" s="32"/>
      <c r="D25" s="28"/>
      <c r="E25" s="28"/>
      <c r="F25" s="28"/>
    </row>
    <row r="26" spans="2:7" ht="27" customHeight="1" x14ac:dyDescent="0.25">
      <c r="B26" s="33">
        <v>13</v>
      </c>
      <c r="C26" s="32"/>
      <c r="D26" s="28"/>
      <c r="E26" s="28"/>
      <c r="F26" s="28"/>
    </row>
    <row r="27" spans="2:7" ht="27" customHeight="1" x14ac:dyDescent="0.25">
      <c r="B27" s="33">
        <v>14</v>
      </c>
      <c r="C27" s="32"/>
      <c r="D27" s="28"/>
      <c r="E27" s="28"/>
      <c r="F27" s="28"/>
    </row>
    <row r="28" spans="2:7" ht="27" customHeight="1" x14ac:dyDescent="0.25">
      <c r="B28" s="33">
        <v>15</v>
      </c>
      <c r="C28" s="32"/>
      <c r="D28" s="28"/>
      <c r="E28" s="28"/>
      <c r="F28" s="28"/>
    </row>
    <row r="29" spans="2:7" ht="27" customHeight="1" x14ac:dyDescent="0.25">
      <c r="B29" s="33">
        <v>16</v>
      </c>
      <c r="C29" s="32"/>
      <c r="D29" s="28"/>
      <c r="E29" s="28"/>
      <c r="F29" s="28"/>
    </row>
    <row r="30" spans="2:7" ht="27" customHeight="1" x14ac:dyDescent="0.25">
      <c r="B30" s="33">
        <v>17</v>
      </c>
      <c r="C30" s="32"/>
      <c r="D30" s="28"/>
      <c r="E30" s="28"/>
      <c r="F30" s="28"/>
    </row>
    <row r="31" spans="2:7" ht="30" customHeight="1" x14ac:dyDescent="0.25">
      <c r="B31" s="31" t="s">
        <v>34</v>
      </c>
      <c r="C31" s="31"/>
      <c r="D31" s="31"/>
      <c r="E31" s="31"/>
      <c r="F31" s="31"/>
    </row>
    <row r="32" spans="2:7" ht="30" customHeight="1" x14ac:dyDescent="0.25">
      <c r="B32" s="44" t="s">
        <v>33</v>
      </c>
      <c r="C32" s="42" t="s">
        <v>32</v>
      </c>
      <c r="D32" s="45" t="s">
        <v>31</v>
      </c>
      <c r="E32" s="45"/>
      <c r="F32" s="42" t="s">
        <v>30</v>
      </c>
      <c r="G32" s="30"/>
    </row>
    <row r="33" spans="2:6" ht="27" customHeight="1" x14ac:dyDescent="0.25">
      <c r="B33" s="29">
        <v>1</v>
      </c>
      <c r="C33" s="28"/>
      <c r="D33" s="27" t="s">
        <v>28</v>
      </c>
      <c r="E33" s="27"/>
      <c r="F33" s="46"/>
    </row>
    <row r="34" spans="2:6" ht="27" customHeight="1" x14ac:dyDescent="0.25">
      <c r="B34" s="29">
        <v>2</v>
      </c>
      <c r="C34" s="28"/>
      <c r="D34" s="27" t="s">
        <v>28</v>
      </c>
      <c r="E34" s="27"/>
      <c r="F34" s="46"/>
    </row>
    <row r="35" spans="2:6" ht="27" customHeight="1" x14ac:dyDescent="0.25">
      <c r="B35" s="29">
        <v>3</v>
      </c>
      <c r="C35" s="28"/>
      <c r="D35" s="27" t="s">
        <v>28</v>
      </c>
      <c r="E35" s="27"/>
      <c r="F35" s="46"/>
    </row>
    <row r="36" spans="2:6" ht="21" customHeight="1" x14ac:dyDescent="0.3">
      <c r="B36" s="47" t="s">
        <v>29</v>
      </c>
      <c r="C36" s="47"/>
      <c r="D36" s="48" t="s">
        <v>28</v>
      </c>
      <c r="E36" s="48"/>
      <c r="F36" s="46"/>
    </row>
    <row r="37" spans="2:6" x14ac:dyDescent="0.25">
      <c r="B37" s="23"/>
      <c r="C37" s="23"/>
      <c r="D37" s="23"/>
      <c r="E37" s="23"/>
      <c r="F37" s="23"/>
    </row>
    <row r="38" spans="2:6" x14ac:dyDescent="0.25">
      <c r="B38" s="23"/>
      <c r="C38" s="23"/>
      <c r="D38" s="23"/>
      <c r="E38" s="23"/>
      <c r="F38" s="23"/>
    </row>
    <row r="39" spans="2:6" ht="15.75" x14ac:dyDescent="0.25">
      <c r="B39" s="23"/>
      <c r="C39" s="25"/>
      <c r="D39" s="26"/>
      <c r="E39" s="25"/>
      <c r="F39" s="25"/>
    </row>
    <row r="40" spans="2:6" ht="15.75" x14ac:dyDescent="0.25">
      <c r="B40" s="23"/>
      <c r="C40" s="24" t="s">
        <v>27</v>
      </c>
      <c r="D40" s="23"/>
      <c r="E40" s="22" t="s">
        <v>26</v>
      </c>
      <c r="F40" s="22"/>
    </row>
  </sheetData>
  <mergeCells count="17">
    <mergeCell ref="B11:C11"/>
    <mergeCell ref="B36:C36"/>
    <mergeCell ref="D36:E36"/>
    <mergeCell ref="F33:F36"/>
    <mergeCell ref="D33:E33"/>
    <mergeCell ref="D34:E34"/>
    <mergeCell ref="D35:E35"/>
    <mergeCell ref="D4:E5"/>
    <mergeCell ref="B31:F31"/>
    <mergeCell ref="D7:E8"/>
    <mergeCell ref="D10:E11"/>
    <mergeCell ref="D32:E32"/>
    <mergeCell ref="E40:F40"/>
    <mergeCell ref="B7:C7"/>
    <mergeCell ref="B8:C8"/>
    <mergeCell ref="B9:C9"/>
    <mergeCell ref="B10:C10"/>
  </mergeCells>
  <pageMargins left="0.17" right="0.12" top="0.52" bottom="0.16" header="0.68" footer="0.12"/>
  <pageSetup paperSize="9" scale="84" orientation="portrait" horizontalDpi="4294967294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9"/>
  <sheetViews>
    <sheetView tabSelected="1" topLeftCell="A3" workbookViewId="0">
      <selection sqref="A1:J2"/>
    </sheetView>
  </sheetViews>
  <sheetFormatPr baseColWidth="10" defaultColWidth="9" defaultRowHeight="15" x14ac:dyDescent="0.25"/>
  <cols>
    <col min="1" max="2" width="9" customWidth="1"/>
    <col min="3" max="3" width="22" customWidth="1"/>
    <col min="4" max="4" width="20" customWidth="1"/>
    <col min="5" max="6" width="21" customWidth="1"/>
    <col min="7" max="7" width="17" customWidth="1"/>
    <col min="8" max="8" width="19" customWidth="1"/>
    <col min="9" max="9" width="13" customWidth="1"/>
    <col min="10" max="10" width="24" customWidth="1"/>
  </cols>
  <sheetData>
    <row r="1" spans="1:10" ht="27.95" customHeight="1" x14ac:dyDescent="0.2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</row>
    <row r="2" spans="1:10" ht="27.95" customHeight="1" x14ac:dyDescent="0.25">
      <c r="A2" s="4"/>
      <c r="B2" s="4"/>
      <c r="C2" s="4"/>
      <c r="D2" s="4"/>
      <c r="E2" s="4"/>
      <c r="F2" s="4"/>
      <c r="G2" s="4"/>
      <c r="H2" s="4"/>
      <c r="I2" s="4"/>
      <c r="J2" s="4"/>
    </row>
    <row r="4" spans="1:10" ht="24" customHeight="1" x14ac:dyDescent="0.25">
      <c r="A4" s="5" t="s">
        <v>1</v>
      </c>
      <c r="B4" s="5" t="s">
        <v>2</v>
      </c>
      <c r="C4" s="5" t="s">
        <v>3</v>
      </c>
      <c r="D4" s="5" t="s">
        <v>4</v>
      </c>
      <c r="E4" s="5" t="s">
        <v>5</v>
      </c>
      <c r="F4" s="5" t="s">
        <v>6</v>
      </c>
      <c r="G4" s="5" t="s">
        <v>7</v>
      </c>
      <c r="H4" s="5" t="s">
        <v>8</v>
      </c>
      <c r="I4" s="1" t="s">
        <v>9</v>
      </c>
      <c r="J4" s="5" t="s">
        <v>10</v>
      </c>
    </row>
    <row r="5" spans="1:10" ht="24" customHeight="1" x14ac:dyDescent="0.25">
      <c r="A5" s="6"/>
      <c r="B5" s="6"/>
      <c r="C5" s="6"/>
      <c r="D5" s="6"/>
      <c r="E5" s="6"/>
      <c r="F5" s="6"/>
      <c r="G5" s="6"/>
      <c r="H5" s="6"/>
      <c r="I5" s="2" t="s">
        <v>11</v>
      </c>
      <c r="J5" s="6"/>
    </row>
    <row r="6" spans="1:10" ht="24.95" customHeight="1" x14ac:dyDescent="0.25">
      <c r="A6" s="7" t="s">
        <v>12</v>
      </c>
      <c r="B6" s="7" t="s">
        <v>13</v>
      </c>
      <c r="C6" s="10" t="s">
        <v>14</v>
      </c>
      <c r="D6" s="10" t="s">
        <v>15</v>
      </c>
      <c r="E6" s="10" t="s">
        <v>16</v>
      </c>
      <c r="F6" s="13"/>
      <c r="G6" s="10" t="s">
        <v>17</v>
      </c>
      <c r="H6" s="10" t="s">
        <v>18</v>
      </c>
      <c r="I6" s="13"/>
      <c r="J6" s="13"/>
    </row>
    <row r="7" spans="1:10" ht="24.95" customHeight="1" x14ac:dyDescent="0.25">
      <c r="A7" s="8"/>
      <c r="B7" s="8"/>
      <c r="C7" s="11"/>
      <c r="D7" s="11"/>
      <c r="E7" s="11"/>
      <c r="F7" s="14"/>
      <c r="G7" s="11"/>
      <c r="H7" s="11"/>
      <c r="I7" s="14"/>
      <c r="J7" s="14"/>
    </row>
    <row r="8" spans="1:10" ht="24.95" customHeight="1" x14ac:dyDescent="0.25">
      <c r="A8" s="8"/>
      <c r="B8" s="8"/>
      <c r="C8" s="11"/>
      <c r="D8" s="11"/>
      <c r="E8" s="11"/>
      <c r="F8" s="14"/>
      <c r="G8" s="11"/>
      <c r="H8" s="11"/>
      <c r="I8" s="14"/>
      <c r="J8" s="14"/>
    </row>
    <row r="9" spans="1:10" ht="24.95" customHeight="1" x14ac:dyDescent="0.25">
      <c r="A9" s="8"/>
      <c r="B9" s="8"/>
      <c r="C9" s="12"/>
      <c r="D9" s="12"/>
      <c r="E9" s="12"/>
      <c r="F9" s="14"/>
      <c r="G9" s="12"/>
      <c r="H9" s="12"/>
      <c r="I9" s="14"/>
      <c r="J9" s="14"/>
    </row>
    <row r="10" spans="1:10" ht="24" customHeight="1" x14ac:dyDescent="0.25">
      <c r="A10" s="9"/>
      <c r="B10" s="9"/>
      <c r="C10" s="3">
        <f>4*20+8*20+7*20</f>
        <v>380</v>
      </c>
      <c r="D10" s="3">
        <v>7.74</v>
      </c>
      <c r="E10" s="3">
        <f>13.73+11.91</f>
        <v>25.64</v>
      </c>
      <c r="F10" s="15"/>
      <c r="G10" s="3">
        <f>5*20</f>
        <v>100</v>
      </c>
      <c r="H10" s="3">
        <f>6*20+8*20+3*20</f>
        <v>340</v>
      </c>
      <c r="I10" s="15"/>
      <c r="J10" s="15"/>
    </row>
    <row r="11" spans="1:10" ht="24.95" customHeight="1" x14ac:dyDescent="0.25">
      <c r="A11" s="7" t="s">
        <v>13</v>
      </c>
      <c r="B11" s="7" t="s">
        <v>19</v>
      </c>
      <c r="C11" s="13" t="s">
        <v>20</v>
      </c>
      <c r="D11" s="10" t="s">
        <v>21</v>
      </c>
      <c r="E11" s="10" t="s">
        <v>22</v>
      </c>
      <c r="F11" s="13"/>
      <c r="G11" s="10" t="s">
        <v>23</v>
      </c>
      <c r="H11" s="10" t="s">
        <v>24</v>
      </c>
      <c r="I11" s="13"/>
      <c r="J11" s="13"/>
    </row>
    <row r="12" spans="1:10" ht="24.95" customHeight="1" x14ac:dyDescent="0.25">
      <c r="A12" s="8"/>
      <c r="B12" s="8"/>
      <c r="C12" s="14"/>
      <c r="D12" s="11"/>
      <c r="E12" s="11"/>
      <c r="F12" s="14"/>
      <c r="G12" s="11"/>
      <c r="H12" s="11"/>
      <c r="I12" s="14"/>
      <c r="J12" s="14"/>
    </row>
    <row r="13" spans="1:10" ht="24.95" customHeight="1" x14ac:dyDescent="0.25">
      <c r="A13" s="8"/>
      <c r="B13" s="8"/>
      <c r="C13" s="14"/>
      <c r="D13" s="11"/>
      <c r="E13" s="11"/>
      <c r="F13" s="14"/>
      <c r="G13" s="11"/>
      <c r="H13" s="11"/>
      <c r="I13" s="14"/>
      <c r="J13" s="14"/>
    </row>
    <row r="14" spans="1:10" ht="24.95" customHeight="1" x14ac:dyDescent="0.25">
      <c r="A14" s="8"/>
      <c r="B14" s="8"/>
      <c r="C14" s="14"/>
      <c r="D14" s="11"/>
      <c r="E14" s="11"/>
      <c r="F14" s="14"/>
      <c r="G14" s="11"/>
      <c r="H14" s="11"/>
      <c r="I14" s="14"/>
      <c r="J14" s="14"/>
    </row>
    <row r="15" spans="1:10" ht="24.95" customHeight="1" x14ac:dyDescent="0.25">
      <c r="A15" s="8"/>
      <c r="B15" s="8"/>
      <c r="C15" s="14"/>
      <c r="D15" s="11"/>
      <c r="E15" s="11"/>
      <c r="F15" s="14"/>
      <c r="G15" s="11"/>
      <c r="H15" s="11"/>
      <c r="I15" s="14"/>
      <c r="J15" s="14"/>
    </row>
    <row r="16" spans="1:10" ht="24.95" customHeight="1" x14ac:dyDescent="0.25">
      <c r="A16" s="8"/>
      <c r="B16" s="8"/>
      <c r="C16" s="15"/>
      <c r="D16" s="12"/>
      <c r="E16" s="12"/>
      <c r="F16" s="14"/>
      <c r="G16" s="12"/>
      <c r="H16" s="12"/>
      <c r="I16" s="14"/>
      <c r="J16" s="14"/>
    </row>
    <row r="17" spans="1:10" ht="24" customHeight="1" x14ac:dyDescent="0.25">
      <c r="A17" s="9"/>
      <c r="B17" s="9"/>
      <c r="C17" s="3">
        <v>540.12</v>
      </c>
      <c r="D17" s="3">
        <v>10.82</v>
      </c>
      <c r="E17" s="3">
        <v>4.7300000000000004</v>
      </c>
      <c r="F17" s="15"/>
      <c r="G17" s="3">
        <f>4*20+22.9</f>
        <v>102.9</v>
      </c>
      <c r="H17" s="3">
        <f>13*20+5*20+25.9</f>
        <v>385.9</v>
      </c>
      <c r="I17" s="15"/>
      <c r="J17" s="15"/>
    </row>
    <row r="18" spans="1:10" ht="20.100000000000001" customHeight="1" x14ac:dyDescent="0.25">
      <c r="A18" s="13"/>
      <c r="B18" s="13"/>
      <c r="C18" s="13"/>
      <c r="D18" s="13"/>
      <c r="E18" s="13"/>
      <c r="F18" s="13"/>
      <c r="G18" s="13"/>
      <c r="H18" s="13"/>
      <c r="I18" s="13"/>
      <c r="J18" s="13"/>
    </row>
    <row r="19" spans="1:10" ht="20.100000000000001" customHeight="1" x14ac:dyDescent="0.25">
      <c r="A19" s="14"/>
      <c r="B19" s="14"/>
      <c r="C19" s="14"/>
      <c r="D19" s="14"/>
      <c r="E19" s="14"/>
      <c r="F19" s="14"/>
      <c r="G19" s="14"/>
      <c r="H19" s="14"/>
      <c r="I19" s="14"/>
      <c r="J19" s="14"/>
    </row>
    <row r="20" spans="1:10" ht="20.100000000000001" customHeight="1" x14ac:dyDescent="0.25">
      <c r="A20" s="14"/>
      <c r="B20" s="14"/>
      <c r="C20" s="14"/>
      <c r="D20" s="14"/>
      <c r="E20" s="14"/>
      <c r="F20" s="14"/>
      <c r="G20" s="14"/>
      <c r="H20" s="14"/>
      <c r="I20" s="14"/>
      <c r="J20" s="14"/>
    </row>
    <row r="21" spans="1:10" ht="20.100000000000001" customHeight="1" x14ac:dyDescent="0.25">
      <c r="A21" s="14"/>
      <c r="B21" s="14"/>
      <c r="C21" s="14"/>
      <c r="D21" s="14"/>
      <c r="E21" s="14"/>
      <c r="F21" s="14"/>
      <c r="G21" s="14"/>
      <c r="H21" s="14"/>
      <c r="I21" s="14"/>
      <c r="J21" s="14"/>
    </row>
    <row r="22" spans="1:10" ht="20.100000000000001" customHeight="1" x14ac:dyDescent="0.25">
      <c r="A22" s="15"/>
      <c r="B22" s="15"/>
      <c r="C22" s="15"/>
      <c r="D22" s="15"/>
      <c r="E22" s="15"/>
      <c r="F22" s="15"/>
      <c r="G22" s="15"/>
      <c r="H22" s="15"/>
      <c r="I22" s="15"/>
      <c r="J22" s="15"/>
    </row>
    <row r="23" spans="1:10" ht="20.100000000000001" customHeight="1" x14ac:dyDescent="0.25">
      <c r="A23" s="13"/>
      <c r="B23" s="13"/>
      <c r="C23" s="13"/>
      <c r="D23" s="13"/>
      <c r="E23" s="13"/>
      <c r="F23" s="13"/>
      <c r="G23" s="13"/>
      <c r="H23" s="13"/>
      <c r="I23" s="13"/>
      <c r="J23" s="13"/>
    </row>
    <row r="24" spans="1:10" ht="20.100000000000001" customHeight="1" x14ac:dyDescent="0.25">
      <c r="A24" s="14"/>
      <c r="B24" s="14"/>
      <c r="C24" s="14"/>
      <c r="D24" s="14"/>
      <c r="E24" s="14"/>
      <c r="F24" s="14"/>
      <c r="G24" s="14"/>
      <c r="H24" s="14"/>
      <c r="I24" s="14"/>
      <c r="J24" s="14"/>
    </row>
    <row r="25" spans="1:10" ht="20.100000000000001" customHeight="1" x14ac:dyDescent="0.25">
      <c r="A25" s="14"/>
      <c r="B25" s="14"/>
      <c r="C25" s="14"/>
      <c r="D25" s="14"/>
      <c r="E25" s="14"/>
      <c r="F25" s="14"/>
      <c r="G25" s="14"/>
      <c r="H25" s="14"/>
      <c r="I25" s="14"/>
      <c r="J25" s="14"/>
    </row>
    <row r="26" spans="1:10" ht="20.100000000000001" customHeight="1" x14ac:dyDescent="0.25">
      <c r="A26" s="14"/>
      <c r="B26" s="14"/>
      <c r="C26" s="14"/>
      <c r="D26" s="14"/>
      <c r="E26" s="14"/>
      <c r="F26" s="14"/>
      <c r="G26" s="14"/>
      <c r="H26" s="14"/>
      <c r="I26" s="14"/>
      <c r="J26" s="14"/>
    </row>
    <row r="27" spans="1:10" ht="20.100000000000001" customHeight="1" x14ac:dyDescent="0.25">
      <c r="A27" s="15"/>
      <c r="B27" s="15"/>
      <c r="C27" s="15"/>
      <c r="D27" s="15"/>
      <c r="E27" s="15"/>
      <c r="F27" s="15"/>
      <c r="G27" s="15"/>
      <c r="H27" s="15"/>
      <c r="I27" s="15"/>
      <c r="J27" s="15"/>
    </row>
    <row r="29" spans="1:10" ht="27.95" customHeight="1" x14ac:dyDescent="0.25">
      <c r="D29" s="16" t="s">
        <v>25</v>
      </c>
      <c r="E29" s="17"/>
      <c r="F29" s="18"/>
      <c r="G29" s="19">
        <v>979.37</v>
      </c>
      <c r="H29" s="20"/>
    </row>
  </sheetData>
  <mergeCells count="52">
    <mergeCell ref="J18:J22"/>
    <mergeCell ref="J23:J27"/>
    <mergeCell ref="D29:F29"/>
    <mergeCell ref="G29:H29"/>
    <mergeCell ref="G18:G22"/>
    <mergeCell ref="G23:G27"/>
    <mergeCell ref="H18:H22"/>
    <mergeCell ref="H23:H27"/>
    <mergeCell ref="I18:I22"/>
    <mergeCell ref="I23:I27"/>
    <mergeCell ref="D18:D22"/>
    <mergeCell ref="D23:D27"/>
    <mergeCell ref="E18:E22"/>
    <mergeCell ref="E23:E27"/>
    <mergeCell ref="F18:F22"/>
    <mergeCell ref="F23:F27"/>
    <mergeCell ref="A18:A22"/>
    <mergeCell ref="A23:A27"/>
    <mergeCell ref="B18:B22"/>
    <mergeCell ref="B23:B27"/>
    <mergeCell ref="C18:C22"/>
    <mergeCell ref="C23:C27"/>
    <mergeCell ref="F11:F17"/>
    <mergeCell ref="G11:G16"/>
    <mergeCell ref="H11:H16"/>
    <mergeCell ref="I11:I17"/>
    <mergeCell ref="J11:J17"/>
    <mergeCell ref="A11:A17"/>
    <mergeCell ref="B11:B17"/>
    <mergeCell ref="C11:C16"/>
    <mergeCell ref="D11:D16"/>
    <mergeCell ref="E11:E16"/>
    <mergeCell ref="F6:F10"/>
    <mergeCell ref="G6:G9"/>
    <mergeCell ref="H6:H9"/>
    <mergeCell ref="I6:I10"/>
    <mergeCell ref="J6:J10"/>
    <mergeCell ref="A6:A10"/>
    <mergeCell ref="B6:B10"/>
    <mergeCell ref="C6:C9"/>
    <mergeCell ref="D6:D9"/>
    <mergeCell ref="E6:E9"/>
    <mergeCell ref="A1:J2"/>
    <mergeCell ref="A4:A5"/>
    <mergeCell ref="B4:B5"/>
    <mergeCell ref="C4:C5"/>
    <mergeCell ref="D4:D5"/>
    <mergeCell ref="E4:E5"/>
    <mergeCell ref="F4:F5"/>
    <mergeCell ref="G4:G5"/>
    <mergeCell ref="H4:H5"/>
    <mergeCell ref="J4:J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EMPAQUE</vt:lpstr>
      <vt:lpstr>CONTROL  DE TROQUELADO</vt:lpstr>
      <vt:lpstr>EMPAQUE!Área_de_impresión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CRISTHIAN CRUZADO</cp:lastModifiedBy>
  <dcterms:modified xsi:type="dcterms:W3CDTF">2026-08-05T17:10:05Z</dcterms:modified>
</cp:coreProperties>
</file>