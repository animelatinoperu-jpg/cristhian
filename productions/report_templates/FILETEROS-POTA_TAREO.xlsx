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uent\Downloads\"/>
    </mc:Choice>
  </mc:AlternateContent>
  <xr:revisionPtr revIDLastSave="0" documentId="13_ncr:1_{43B9593B-6604-4C42-8A35-DACD6C511D51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POTA ENTERA" sheetId="1" r:id="rId1"/>
    <sheet name="CUADRILLA 1" sheetId="2" r:id="rId2"/>
    <sheet name="CUADRILLA 2" sheetId="3" r:id="rId3"/>
  </sheets>
  <externalReferences>
    <externalReference r:id="rId4"/>
  </externalReferences>
  <definedNames>
    <definedName name="CODIGOS" localSheetId="0">#REF!</definedName>
    <definedName name="CODIGOS">[1]COLORES!$B$3:$D$49</definedName>
    <definedName name="LISTA" localSheetId="0">#REF!</definedName>
    <definedName name="LISTA">#REF!</definedName>
  </definedNames>
  <calcPr calcId="181029"/>
  <extLst>
    <ext uri="GoogleSheetsCustomDataVersion2">
      <go:sheetsCustomData xmlns:go="http://customooxmlschemas.google.com/" r:id="rId8" roundtripDataChecksum="QeKmK9FgOS6aBQCbbkFHeYsjaD66lIy5aGg2kVGOO38="/>
    </ext>
  </extLst>
</workbook>
</file>

<file path=xl/calcChain.xml><?xml version="1.0" encoding="utf-8"?>
<calcChain xmlns="http://schemas.openxmlformats.org/spreadsheetml/2006/main">
  <c r="D46" i="3" l="1"/>
  <c r="M34" i="3"/>
  <c r="G8" i="3"/>
  <c r="M46" i="3" s="1"/>
  <c r="D7" i="3"/>
  <c r="D46" i="2"/>
  <c r="M34" i="2"/>
  <c r="G8" i="2"/>
  <c r="M46" i="2" s="1"/>
  <c r="D7" i="2"/>
  <c r="L77" i="1"/>
  <c r="O81" i="1" s="1"/>
  <c r="C16" i="3" s="1"/>
  <c r="C24" i="3" s="1"/>
  <c r="C32" i="3" s="1"/>
  <c r="B77" i="1"/>
  <c r="D81" i="1" s="1"/>
  <c r="C16" i="2" s="1"/>
  <c r="C24" i="2" s="1"/>
  <c r="C32" i="2" s="1"/>
  <c r="U76" i="1"/>
  <c r="S76" i="1"/>
  <c r="Q76" i="1"/>
  <c r="O76" i="1"/>
  <c r="V75" i="1"/>
  <c r="U75" i="1"/>
  <c r="T75" i="1"/>
  <c r="S75" i="1"/>
  <c r="R75" i="1"/>
  <c r="Q75" i="1"/>
  <c r="P75" i="1"/>
  <c r="O75" i="1"/>
  <c r="N75" i="1"/>
  <c r="M75" i="1"/>
  <c r="M76" i="1" s="1"/>
  <c r="L75" i="1"/>
  <c r="K75" i="1"/>
  <c r="K76" i="1" s="1"/>
  <c r="J75" i="1"/>
  <c r="I76" i="1" s="1"/>
  <c r="I75" i="1"/>
  <c r="H75" i="1"/>
  <c r="G75" i="1"/>
  <c r="G76" i="1" s="1"/>
  <c r="F75" i="1"/>
  <c r="E75" i="1"/>
  <c r="E76" i="1" s="1"/>
  <c r="D75" i="1"/>
  <c r="S77" i="1" s="1"/>
  <c r="Q81" i="1" s="1"/>
  <c r="M16" i="3" s="1"/>
  <c r="C75" i="1"/>
  <c r="H77" i="1" s="1"/>
  <c r="F81" i="1" s="1"/>
  <c r="M16" i="2" s="1"/>
  <c r="M18" i="2" l="1"/>
  <c r="M24" i="2"/>
  <c r="M26" i="2" s="1"/>
  <c r="M24" i="3"/>
  <c r="M26" i="3" s="1"/>
  <c r="M18" i="3"/>
  <c r="N36" i="3" s="1"/>
  <c r="C76" i="1"/>
  <c r="B79" i="1" s="1"/>
  <c r="N36" i="2" l="1"/>
</calcChain>
</file>

<file path=xl/sharedStrings.xml><?xml version="1.0" encoding="utf-8"?>
<sst xmlns="http://schemas.openxmlformats.org/spreadsheetml/2006/main" count="171" uniqueCount="80">
  <si>
    <t xml:space="preserve">                      </t>
  </si>
  <si>
    <t>TAREO DE PERSONAL 
ÁREA DE FILETEROS</t>
  </si>
  <si>
    <t>Registro</t>
  </si>
  <si>
    <t>SPM-FOT-007</t>
  </si>
  <si>
    <t>REGISTRO DE PESOS POR CUADRILLA</t>
  </si>
  <si>
    <t xml:space="preserve">Registro: </t>
  </si>
  <si>
    <t>Versión</t>
  </si>
  <si>
    <t>SPM-FOT-006</t>
  </si>
  <si>
    <t>LUIS</t>
  </si>
  <si>
    <t>Fecha</t>
  </si>
  <si>
    <t>JULIO 2026</t>
  </si>
  <si>
    <t xml:space="preserve">Versión: </t>
  </si>
  <si>
    <t>01</t>
  </si>
  <si>
    <t>FELIX</t>
  </si>
  <si>
    <t>Página</t>
  </si>
  <si>
    <t xml:space="preserve">Fecha: </t>
  </si>
  <si>
    <t>JULIO-2026</t>
  </si>
  <si>
    <t>CHARLES</t>
  </si>
  <si>
    <t>CLIENTE:</t>
  </si>
  <si>
    <t>PRODUCTO:</t>
  </si>
  <si>
    <t>DATOS DEL EMPLEADOR</t>
  </si>
  <si>
    <t>POTA ENTERA</t>
  </si>
  <si>
    <t>DÍA / FECHA:</t>
  </si>
  <si>
    <t xml:space="preserve">Viernes </t>
  </si>
  <si>
    <t>/</t>
  </si>
  <si>
    <t>RAZÓN SOCIAL O DENOMINACIÓN SOCIAL</t>
  </si>
  <si>
    <t>TURNO:</t>
  </si>
  <si>
    <t>DÍA</t>
  </si>
  <si>
    <t>RUC</t>
  </si>
  <si>
    <r>
      <rPr>
        <b/>
        <sz val="14"/>
        <color theme="1"/>
        <rFont val="Arial Black"/>
      </rPr>
      <t>DOMICILIO (</t>
    </r>
    <r>
      <rPr>
        <sz val="14"/>
        <color theme="1"/>
        <rFont val="Arial Black"/>
      </rPr>
      <t>Dirección, Distrito, Provincia, Departamento)</t>
    </r>
  </si>
  <si>
    <t>HORA INICIO:</t>
  </si>
  <si>
    <t>7:00 am</t>
  </si>
  <si>
    <t>ACTIVIDAD ECONÓMICA</t>
  </si>
  <si>
    <t>HORA TERMINO:</t>
  </si>
  <si>
    <t>4:25 pm</t>
  </si>
  <si>
    <t>SUPERVISOR:</t>
  </si>
  <si>
    <t>OMAR ESCOBEDO</t>
  </si>
  <si>
    <t>SOLUCIONES &amp; PROCESOS MARINOS S.A.C.</t>
  </si>
  <si>
    <t>PLACA CARRO:</t>
  </si>
  <si>
    <t>Calle a Lote, 04 SI. Sección 5 Ex Fundo Oquendo (Al Km 6.3 Gambeta Espalda Pesquera Bert.)
Callao, Provincia Constitucional del Callao, Lima</t>
  </si>
  <si>
    <t>ELABORACIÓN Y CONSERVACIÓN DE
PESCADO, CRUSTÁCEO Y MOLUSCOS</t>
  </si>
  <si>
    <t>POTILLA</t>
  </si>
  <si>
    <t>PESO DE FILETEO POR CUADRILLA</t>
  </si>
  <si>
    <t>GLOBAL TOP FOOD PERÚ S.A.C.</t>
  </si>
  <si>
    <t>N°</t>
  </si>
  <si>
    <t>APELLIDOS Y NOMBRES</t>
  </si>
  <si>
    <t>LOTE CLIENTE:</t>
  </si>
  <si>
    <t>1064PPF150726</t>
  </si>
  <si>
    <r>
      <rPr>
        <b/>
        <u/>
        <sz val="11"/>
        <color rgb="FF000000"/>
        <rFont val="Arial"/>
      </rPr>
      <t>M</t>
    </r>
    <r>
      <rPr>
        <b/>
        <sz val="11"/>
        <color rgb="FF000000"/>
        <rFont val="Arial"/>
      </rPr>
      <t xml:space="preserve">ENÚ / </t>
    </r>
    <r>
      <rPr>
        <b/>
        <u/>
        <sz val="11"/>
        <color rgb="FF000000"/>
        <rFont val="Arial"/>
      </rPr>
      <t>C</t>
    </r>
    <r>
      <rPr>
        <b/>
        <sz val="11"/>
        <color rgb="FF000000"/>
        <rFont val="Arial"/>
      </rPr>
      <t>ENA</t>
    </r>
  </si>
  <si>
    <r>
      <rPr>
        <b/>
        <u/>
        <sz val="11"/>
        <color rgb="FF000000"/>
        <rFont val="Arial"/>
      </rPr>
      <t>M</t>
    </r>
    <r>
      <rPr>
        <b/>
        <sz val="11"/>
        <color rgb="FF000000"/>
        <rFont val="Arial"/>
      </rPr>
      <t xml:space="preserve">ENÚ / </t>
    </r>
    <r>
      <rPr>
        <b/>
        <u/>
        <sz val="11"/>
        <color rgb="FF000000"/>
        <rFont val="Arial"/>
      </rPr>
      <t>C</t>
    </r>
    <r>
      <rPr>
        <b/>
        <sz val="11"/>
        <color rgb="FF000000"/>
        <rFont val="Arial"/>
      </rPr>
      <t>ENA</t>
    </r>
  </si>
  <si>
    <t>TOTAL (PESO)</t>
  </si>
  <si>
    <t>Importe s/.</t>
  </si>
  <si>
    <t xml:space="preserve">PROCESO: </t>
  </si>
  <si>
    <t>POTA A GRANEL</t>
  </si>
  <si>
    <t>FECHA:</t>
  </si>
  <si>
    <t>TOTAL</t>
  </si>
  <si>
    <t>PRODUCTO</t>
  </si>
  <si>
    <t>PESO DE LAVADO DE FILETE DE POTA POR CUADRILLA</t>
  </si>
  <si>
    <t>PLACA</t>
  </si>
  <si>
    <t>M4D-972</t>
  </si>
  <si>
    <t>M4B-991</t>
  </si>
  <si>
    <t>ATU-890</t>
  </si>
  <si>
    <r>
      <rPr>
        <b/>
        <u/>
        <sz val="11"/>
        <color rgb="FF000000"/>
        <rFont val="Arial"/>
      </rPr>
      <t>M</t>
    </r>
    <r>
      <rPr>
        <b/>
        <sz val="11"/>
        <color rgb="FF000000"/>
        <rFont val="Arial"/>
      </rPr>
      <t xml:space="preserve">ENÚ / </t>
    </r>
    <r>
      <rPr>
        <b/>
        <u/>
        <sz val="11"/>
        <color rgb="FF000000"/>
        <rFont val="Arial"/>
      </rPr>
      <t>C</t>
    </r>
    <r>
      <rPr>
        <b/>
        <sz val="11"/>
        <color rgb="FF000000"/>
        <rFont val="Arial"/>
      </rPr>
      <t>ENA</t>
    </r>
  </si>
  <si>
    <r>
      <rPr>
        <b/>
        <u/>
        <sz val="11"/>
        <color rgb="FF000000"/>
        <rFont val="Arial"/>
      </rPr>
      <t>M</t>
    </r>
    <r>
      <rPr>
        <b/>
        <sz val="11"/>
        <color rgb="FF000000"/>
        <rFont val="Arial"/>
      </rPr>
      <t xml:space="preserve">ENÚ / </t>
    </r>
    <r>
      <rPr>
        <b/>
        <u/>
        <sz val="11"/>
        <color rgb="FF000000"/>
        <rFont val="Arial"/>
      </rPr>
      <t>C</t>
    </r>
    <r>
      <rPr>
        <b/>
        <sz val="11"/>
        <color rgb="FF000000"/>
        <rFont val="Arial"/>
      </rPr>
      <t>ENA</t>
    </r>
  </si>
  <si>
    <t>NUMERO DE CARRO</t>
  </si>
  <si>
    <t>CUADRILLA / N° DE DINO</t>
  </si>
  <si>
    <t>PESO DE LIMPIEZA DE CONO DE POTA POR CUADRILLA</t>
  </si>
  <si>
    <r>
      <rPr>
        <b/>
        <u/>
        <sz val="11"/>
        <color rgb="FF000000"/>
        <rFont val="Arial"/>
      </rPr>
      <t>M</t>
    </r>
    <r>
      <rPr>
        <b/>
        <sz val="11"/>
        <color rgb="FF000000"/>
        <rFont val="Arial"/>
      </rPr>
      <t xml:space="preserve">ENÚ / </t>
    </r>
    <r>
      <rPr>
        <b/>
        <u/>
        <sz val="11"/>
        <color rgb="FF000000"/>
        <rFont val="Arial"/>
      </rPr>
      <t>C</t>
    </r>
    <r>
      <rPr>
        <b/>
        <sz val="11"/>
        <color rgb="FF000000"/>
        <rFont val="Arial"/>
      </rPr>
      <t>ENA</t>
    </r>
  </si>
  <si>
    <r>
      <rPr>
        <b/>
        <u/>
        <sz val="11"/>
        <color rgb="FF000000"/>
        <rFont val="Arial"/>
      </rPr>
      <t>M</t>
    </r>
    <r>
      <rPr>
        <b/>
        <sz val="11"/>
        <color rgb="FF000000"/>
        <rFont val="Arial"/>
      </rPr>
      <t xml:space="preserve">ENÚ / </t>
    </r>
    <r>
      <rPr>
        <b/>
        <u/>
        <sz val="11"/>
        <color rgb="FF000000"/>
        <rFont val="Arial"/>
      </rPr>
      <t>C</t>
    </r>
    <r>
      <rPr>
        <b/>
        <sz val="11"/>
        <color rgb="FF000000"/>
        <rFont val="Arial"/>
      </rPr>
      <t>ENA</t>
    </r>
  </si>
  <si>
    <t>TOTAL GENERAL</t>
  </si>
  <si>
    <t>OBSERVACIONES:</t>
  </si>
  <si>
    <t>V°B° Jefe de Producciòn</t>
  </si>
  <si>
    <t>V°B° Gerencia General</t>
  </si>
  <si>
    <t>RESPONSABLE DEL REGISTRO</t>
  </si>
  <si>
    <t>NOMBRE:</t>
  </si>
  <si>
    <t>CARGO</t>
  </si>
  <si>
    <t>SUPERVISOR DEL ÁREA DE FILETEO</t>
  </si>
  <si>
    <t>FIRMA:</t>
  </si>
  <si>
    <t>TOTAL DE CUADRILLA</t>
  </si>
  <si>
    <t>TOTAL RECEPCION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</si>
</sst>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\ AM/PM"/>
    <numFmt numFmtId="165" formatCode="#,##0.0"/>
  </numFmts>
  <fonts count="53">
    <font>
      <sz val="11"/>
      <color theme="1"/>
      <name val="Calibri"/>
      <scheme val="minor"/>
    </font>
    <font>
      <sz val="11"/>
      <color theme="1"/>
      <name val="Calibri"/>
    </font>
    <font>
      <sz val="10"/>
      <color rgb="FF000000"/>
      <name val="Arial"/>
    </font>
    <font>
      <sz val="11"/>
      <name val="Calibri"/>
    </font>
    <font>
      <b/>
      <sz val="18"/>
      <color rgb="FF000000"/>
      <name val="Arial"/>
    </font>
    <font>
      <b/>
      <sz val="40"/>
      <color theme="1"/>
      <name val="Arial Black"/>
    </font>
    <font>
      <b/>
      <sz val="9"/>
      <color rgb="FF000000"/>
      <name val="Arial"/>
    </font>
    <font>
      <sz val="9"/>
      <color rgb="FF000000"/>
      <name val="Arial"/>
    </font>
    <font>
      <b/>
      <sz val="36"/>
      <color theme="1"/>
      <name val="Arial Black"/>
    </font>
    <font>
      <b/>
      <sz val="12"/>
      <color theme="1"/>
      <name val="Arial Black"/>
    </font>
    <font>
      <b/>
      <sz val="10"/>
      <color theme="1"/>
      <name val="Arial Black"/>
    </font>
    <font>
      <sz val="11"/>
      <color theme="0"/>
      <name val="Calibri"/>
    </font>
    <font>
      <sz val="10"/>
      <color theme="1"/>
      <name val="Arial"/>
    </font>
    <font>
      <b/>
      <sz val="10"/>
      <color rgb="FF000000"/>
      <name val="Arial"/>
    </font>
    <font>
      <b/>
      <sz val="11"/>
      <color theme="0"/>
      <name val="Arial Black"/>
    </font>
    <font>
      <sz val="10"/>
      <color rgb="FF000000"/>
      <name val="Times New Roman"/>
    </font>
    <font>
      <b/>
      <sz val="18"/>
      <color theme="1"/>
      <name val="Arial Black"/>
    </font>
    <font>
      <b/>
      <sz val="11"/>
      <color rgb="FF000000"/>
      <name val="Arial"/>
    </font>
    <font>
      <b/>
      <sz val="14"/>
      <color theme="1"/>
      <name val="Arial Black"/>
    </font>
    <font>
      <sz val="10"/>
      <color rgb="FFFF0000"/>
      <name val="Arial"/>
    </font>
    <font>
      <b/>
      <sz val="12"/>
      <color rgb="FFFF0000"/>
      <name val="Arial Narrow"/>
    </font>
    <font>
      <sz val="11"/>
      <color rgb="FFFF0000"/>
      <name val="Calibri"/>
    </font>
    <font>
      <sz val="14"/>
      <color theme="1"/>
      <name val="Carlito"/>
    </font>
    <font>
      <sz val="12"/>
      <color rgb="FFFF000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4"/>
      <color theme="1"/>
      <name val="Arial Narrow"/>
    </font>
    <font>
      <sz val="9"/>
      <color rgb="FFFF0000"/>
      <name val="Arial"/>
    </font>
    <font>
      <b/>
      <sz val="12"/>
      <color theme="1"/>
      <name val="Arial"/>
    </font>
    <font>
      <sz val="11"/>
      <color rgb="FFFF0000"/>
      <name val="Arial Narrow"/>
    </font>
    <font>
      <sz val="11"/>
      <color theme="1"/>
      <name val="Arial Narrow"/>
    </font>
    <font>
      <sz val="16"/>
      <color theme="1"/>
      <name val="Arial Narrow"/>
    </font>
    <font>
      <sz val="16"/>
      <color theme="1"/>
      <name val="Calibri"/>
      <scheme val="minor"/>
    </font>
    <font>
      <sz val="14"/>
      <color theme="1"/>
      <name val="Arial Narrow"/>
    </font>
    <font>
      <sz val="11"/>
      <color rgb="FFFFFFFF"/>
      <name val="Arial Narrow"/>
    </font>
    <font>
      <sz val="11"/>
      <color rgb="FFFFFFFF"/>
      <name val="Calibri"/>
    </font>
    <font>
      <sz val="11"/>
      <color theme="1"/>
      <name val="Calibri"/>
      <scheme val="minor"/>
    </font>
    <font>
      <sz val="14"/>
      <color theme="1"/>
      <name val="Calibri"/>
      <scheme val="minor"/>
    </font>
    <font>
      <b/>
      <sz val="10"/>
      <color theme="0"/>
      <name val="Arial"/>
    </font>
    <font>
      <b/>
      <sz val="10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sz val="16"/>
      <color theme="1"/>
      <name val="Arial Narrow"/>
    </font>
    <font>
      <b/>
      <sz val="18"/>
      <color rgb="FFFF0000"/>
      <name val="Calibri"/>
    </font>
    <font>
      <b/>
      <sz val="18"/>
      <color rgb="FFFF0000"/>
      <name val="Arial"/>
    </font>
    <font>
      <b/>
      <sz val="24"/>
      <color theme="1"/>
      <name val="Arial Black"/>
    </font>
    <font>
      <sz val="36"/>
      <color theme="1"/>
      <name val="Arial Black"/>
    </font>
    <font>
      <sz val="11"/>
      <color rgb="FFFF0000"/>
      <name val="Arial"/>
    </font>
    <font>
      <sz val="8"/>
      <color rgb="FFFF0000"/>
      <name val="Arial"/>
    </font>
    <font>
      <sz val="11"/>
      <color theme="1"/>
      <name val="Arial"/>
    </font>
    <font>
      <u/>
      <sz val="11"/>
      <color rgb="FFFF0000"/>
      <name val="Arial"/>
    </font>
    <font>
      <sz val="14"/>
      <color theme="1"/>
      <name val="Arial Black"/>
    </font>
    <font>
      <b/>
      <u/>
      <sz val="11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BD3DE"/>
        <bgColor rgb="FFCBD3DE"/>
      </patternFill>
    </fill>
    <fill>
      <patternFill patternType="solid">
        <fgColor rgb="FFEAEDF1"/>
        <bgColor rgb="FFEAEDF1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theme="8"/>
        <bgColor theme="8"/>
      </patternFill>
    </fill>
  </fills>
  <borders count="6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9" fillId="4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9" fillId="4" borderId="26" xfId="0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/>
    </xf>
    <xf numFmtId="0" fontId="13" fillId="0" borderId="0" xfId="0" applyFont="1" applyAlignment="1">
      <alignment horizontal="center"/>
    </xf>
    <xf numFmtId="0" fontId="14" fillId="2" borderId="29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wrapText="1"/>
    </xf>
    <xf numFmtId="0" fontId="13" fillId="0" borderId="0" xfId="0" applyFont="1" applyAlignment="1">
      <alignment wrapText="1"/>
    </xf>
    <xf numFmtId="0" fontId="13" fillId="0" borderId="21" xfId="0" applyFont="1" applyBorder="1" applyAlignment="1">
      <alignment wrapText="1"/>
    </xf>
    <xf numFmtId="0" fontId="12" fillId="2" borderId="29" xfId="0" applyFont="1" applyFill="1" applyBorder="1"/>
    <xf numFmtId="14" fontId="13" fillId="0" borderId="32" xfId="0" applyNumberFormat="1" applyFont="1" applyBorder="1" applyAlignment="1">
      <alignment horizontal="center" wrapText="1"/>
    </xf>
    <xf numFmtId="0" fontId="13" fillId="0" borderId="21" xfId="0" applyFont="1" applyBorder="1" applyAlignment="1">
      <alignment vertical="center" wrapText="1"/>
    </xf>
    <xf numFmtId="20" fontId="13" fillId="0" borderId="21" xfId="0" applyNumberFormat="1" applyFont="1" applyBorder="1" applyAlignment="1">
      <alignment vertical="center" wrapText="1"/>
    </xf>
    <xf numFmtId="0" fontId="19" fillId="0" borderId="0" xfId="0" applyFont="1" applyAlignment="1">
      <alignment vertical="top"/>
    </xf>
    <xf numFmtId="164" fontId="13" fillId="0" borderId="21" xfId="0" applyNumberFormat="1" applyFont="1" applyBorder="1" applyAlignment="1">
      <alignment wrapText="1"/>
    </xf>
    <xf numFmtId="0" fontId="20" fillId="2" borderId="29" xfId="0" applyFont="1" applyFill="1" applyBorder="1" applyAlignment="1">
      <alignment vertical="center"/>
    </xf>
    <xf numFmtId="0" fontId="21" fillId="0" borderId="0" xfId="0" applyFont="1"/>
    <xf numFmtId="0" fontId="13" fillId="0" borderId="0" xfId="0" applyFont="1" applyAlignment="1">
      <alignment vertical="center" wrapText="1"/>
    </xf>
    <xf numFmtId="0" fontId="23" fillId="2" borderId="29" xfId="0" applyFont="1" applyFill="1" applyBorder="1" applyAlignment="1">
      <alignment vertical="center"/>
    </xf>
    <xf numFmtId="0" fontId="13" fillId="0" borderId="0" xfId="0" applyFont="1" applyAlignment="1">
      <alignment horizontal="left" vertical="center" wrapText="1"/>
    </xf>
    <xf numFmtId="0" fontId="1" fillId="2" borderId="29" xfId="0" applyFont="1" applyFill="1" applyBorder="1" applyAlignment="1">
      <alignment horizontal="center"/>
    </xf>
    <xf numFmtId="0" fontId="22" fillId="6" borderId="29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7" fillId="8" borderId="41" xfId="0" applyFont="1" applyFill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14" fontId="24" fillId="2" borderId="47" xfId="0" applyNumberFormat="1" applyFont="1" applyFill="1" applyBorder="1" applyAlignment="1">
      <alignment vertical="center"/>
    </xf>
    <xf numFmtId="14" fontId="24" fillId="2" borderId="48" xfId="0" applyNumberFormat="1" applyFont="1" applyFill="1" applyBorder="1" applyAlignment="1">
      <alignment vertical="center"/>
    </xf>
    <xf numFmtId="0" fontId="27" fillId="2" borderId="29" xfId="0" applyFont="1" applyFill="1" applyBorder="1" applyAlignment="1">
      <alignment horizontal="left"/>
    </xf>
    <xf numFmtId="0" fontId="28" fillId="0" borderId="24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8" fillId="10" borderId="49" xfId="0" applyFont="1" applyFill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21" fillId="2" borderId="29" xfId="0" applyFont="1" applyFill="1" applyBorder="1"/>
    <xf numFmtId="0" fontId="29" fillId="0" borderId="0" xfId="0" applyFont="1"/>
    <xf numFmtId="0" fontId="30" fillId="0" borderId="0" xfId="0" applyFont="1"/>
    <xf numFmtId="0" fontId="18" fillId="10" borderId="49" xfId="0" applyFont="1" applyFill="1" applyBorder="1" applyAlignment="1">
      <alignment horizontal="center" vertical="center" wrapText="1"/>
    </xf>
    <xf numFmtId="0" fontId="18" fillId="2" borderId="49" xfId="0" applyFont="1" applyFill="1" applyBorder="1" applyAlignment="1">
      <alignment horizontal="center" vertical="center" wrapText="1"/>
    </xf>
    <xf numFmtId="0" fontId="18" fillId="8" borderId="53" xfId="0" applyFont="1" applyFill="1" applyBorder="1" applyAlignment="1">
      <alignment horizontal="center" vertical="center" wrapText="1"/>
    </xf>
    <xf numFmtId="0" fontId="1" fillId="2" borderId="29" xfId="0" applyFont="1" applyFill="1" applyBorder="1"/>
    <xf numFmtId="0" fontId="24" fillId="0" borderId="54" xfId="0" applyFont="1" applyBorder="1" applyAlignment="1">
      <alignment horizontal="center" vertical="center"/>
    </xf>
    <xf numFmtId="0" fontId="31" fillId="0" borderId="41" xfId="0" applyFont="1" applyBorder="1" applyAlignment="1">
      <alignment horizontal="center"/>
    </xf>
    <xf numFmtId="0" fontId="31" fillId="2" borderId="41" xfId="0" applyFont="1" applyFill="1" applyBorder="1" applyAlignment="1">
      <alignment horizontal="center"/>
    </xf>
    <xf numFmtId="0" fontId="32" fillId="0" borderId="41" xfId="0" applyFont="1" applyBorder="1"/>
    <xf numFmtId="0" fontId="33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/>
    </xf>
    <xf numFmtId="0" fontId="34" fillId="0" borderId="0" xfId="0" applyFont="1"/>
    <xf numFmtId="0" fontId="35" fillId="0" borderId="0" xfId="0" applyFont="1"/>
    <xf numFmtId="0" fontId="24" fillId="0" borderId="18" xfId="0" applyFont="1" applyBorder="1" applyAlignment="1">
      <alignment horizontal="center" vertical="center"/>
    </xf>
    <xf numFmtId="0" fontId="36" fillId="0" borderId="41" xfId="0" applyFont="1" applyBorder="1"/>
    <xf numFmtId="0" fontId="26" fillId="0" borderId="41" xfId="0" applyFont="1" applyBorder="1" applyAlignment="1">
      <alignment horizontal="center"/>
    </xf>
    <xf numFmtId="0" fontId="37" fillId="0" borderId="41" xfId="0" applyFont="1" applyBorder="1"/>
    <xf numFmtId="4" fontId="4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2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13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wrapText="1"/>
    </xf>
    <xf numFmtId="0" fontId="38" fillId="0" borderId="0" xfId="0" applyFont="1" applyAlignment="1">
      <alignment horizontal="center" vertical="center"/>
    </xf>
    <xf numFmtId="0" fontId="41" fillId="2" borderId="29" xfId="0" applyFont="1" applyFill="1" applyBorder="1" applyAlignment="1">
      <alignment horizontal="left"/>
    </xf>
    <xf numFmtId="165" fontId="1" fillId="0" borderId="0" xfId="0" applyNumberFormat="1" applyFont="1"/>
    <xf numFmtId="0" fontId="33" fillId="2" borderId="41" xfId="0" applyFont="1" applyFill="1" applyBorder="1" applyAlignment="1">
      <alignment horizontal="center"/>
    </xf>
    <xf numFmtId="0" fontId="42" fillId="2" borderId="41" xfId="0" applyFont="1" applyFill="1" applyBorder="1" applyAlignment="1">
      <alignment horizontal="center"/>
    </xf>
    <xf numFmtId="0" fontId="43" fillId="2" borderId="29" xfId="0" applyFont="1" applyFill="1" applyBorder="1"/>
    <xf numFmtId="0" fontId="43" fillId="0" borderId="0" xfId="0" applyFont="1"/>
    <xf numFmtId="0" fontId="36" fillId="0" borderId="0" xfId="0" applyFont="1"/>
    <xf numFmtId="0" fontId="44" fillId="2" borderId="29" xfId="0" applyFont="1" applyFill="1" applyBorder="1" applyAlignment="1">
      <alignment horizontal="left"/>
    </xf>
    <xf numFmtId="0" fontId="33" fillId="6" borderId="41" xfId="0" applyFont="1" applyFill="1" applyBorder="1" applyAlignment="1">
      <alignment horizontal="center"/>
    </xf>
    <xf numFmtId="0" fontId="25" fillId="2" borderId="41" xfId="0" applyFont="1" applyFill="1" applyBorder="1" applyAlignment="1">
      <alignment horizontal="center"/>
    </xf>
    <xf numFmtId="0" fontId="24" fillId="0" borderId="41" xfId="0" applyFont="1" applyBorder="1" applyAlignment="1">
      <alignment horizontal="center" vertical="center"/>
    </xf>
    <xf numFmtId="0" fontId="18" fillId="10" borderId="58" xfId="0" applyFont="1" applyFill="1" applyBorder="1" applyAlignment="1">
      <alignment horizontal="center" vertical="center" wrapText="1"/>
    </xf>
    <xf numFmtId="0" fontId="18" fillId="11" borderId="59" xfId="0" applyFont="1" applyFill="1" applyBorder="1" applyAlignment="1">
      <alignment horizontal="center" vertical="center"/>
    </xf>
    <xf numFmtId="0" fontId="18" fillId="12" borderId="60" xfId="0" applyFont="1" applyFill="1" applyBorder="1" applyAlignment="1">
      <alignment horizontal="center" vertical="center" wrapText="1"/>
    </xf>
    <xf numFmtId="2" fontId="21" fillId="0" borderId="0" xfId="0" applyNumberFormat="1" applyFont="1"/>
    <xf numFmtId="0" fontId="35" fillId="2" borderId="29" xfId="0" applyFont="1" applyFill="1" applyBorder="1"/>
    <xf numFmtId="0" fontId="47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4" fontId="48" fillId="0" borderId="0" xfId="0" applyNumberFormat="1" applyFont="1" applyAlignment="1">
      <alignment vertical="center"/>
    </xf>
    <xf numFmtId="4" fontId="47" fillId="0" borderId="0" xfId="0" applyNumberFormat="1" applyFont="1" applyAlignment="1">
      <alignment vertical="center"/>
    </xf>
    <xf numFmtId="0" fontId="49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18" fillId="0" borderId="0" xfId="0" applyFont="1" applyAlignment="1">
      <alignment horizontal="center"/>
    </xf>
    <xf numFmtId="0" fontId="3" fillId="0" borderId="17" xfId="0" applyFont="1" applyBorder="1"/>
    <xf numFmtId="0" fontId="18" fillId="0" borderId="30" xfId="0" applyFont="1" applyBorder="1" applyAlignment="1">
      <alignment horizontal="center"/>
    </xf>
    <xf numFmtId="0" fontId="3" fillId="0" borderId="33" xfId="0" applyFont="1" applyBorder="1"/>
    <xf numFmtId="0" fontId="18" fillId="0" borderId="30" xfId="0" applyFont="1" applyBorder="1" applyAlignment="1">
      <alignment horizontal="center" vertical="center"/>
    </xf>
    <xf numFmtId="0" fontId="18" fillId="11" borderId="52" xfId="0" applyFont="1" applyFill="1" applyBorder="1" applyAlignment="1">
      <alignment horizontal="center" vertical="center"/>
    </xf>
    <xf numFmtId="0" fontId="18" fillId="11" borderId="30" xfId="0" applyFont="1" applyFill="1" applyBorder="1" applyAlignment="1">
      <alignment horizontal="center" vertical="center"/>
    </xf>
    <xf numFmtId="0" fontId="18" fillId="2" borderId="61" xfId="0" applyFont="1" applyFill="1" applyBorder="1" applyAlignment="1">
      <alignment horizontal="center" vertical="center"/>
    </xf>
    <xf numFmtId="0" fontId="3" fillId="0" borderId="62" xfId="0" applyFont="1" applyBorder="1"/>
    <xf numFmtId="0" fontId="18" fillId="13" borderId="5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9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4" fontId="45" fillId="2" borderId="5" xfId="0" applyNumberFormat="1" applyFont="1" applyFill="1" applyBorder="1" applyAlignment="1">
      <alignment horizontal="center" vertical="center"/>
    </xf>
    <xf numFmtId="0" fontId="18" fillId="14" borderId="5" xfId="0" applyFont="1" applyFill="1" applyBorder="1" applyAlignment="1">
      <alignment horizontal="center" vertical="center"/>
    </xf>
    <xf numFmtId="4" fontId="46" fillId="15" borderId="63" xfId="0" applyNumberFormat="1" applyFont="1" applyFill="1" applyBorder="1" applyAlignment="1">
      <alignment horizontal="center" vertical="center"/>
    </xf>
    <xf numFmtId="0" fontId="3" fillId="0" borderId="64" xfId="0" applyFont="1" applyBorder="1"/>
    <xf numFmtId="0" fontId="3" fillId="0" borderId="65" xfId="0" applyFont="1" applyBorder="1"/>
    <xf numFmtId="0" fontId="3" fillId="0" borderId="19" xfId="0" applyFont="1" applyBorder="1"/>
    <xf numFmtId="0" fontId="3" fillId="0" borderId="21" xfId="0" applyFont="1" applyBorder="1"/>
    <xf numFmtId="0" fontId="3" fillId="0" borderId="22" xfId="0" applyFont="1" applyBorder="1"/>
    <xf numFmtId="2" fontId="18" fillId="2" borderId="3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0" borderId="15" xfId="0" applyFont="1" applyBorder="1"/>
    <xf numFmtId="0" fontId="3" fillId="0" borderId="37" xfId="0" applyFont="1" applyBorder="1"/>
    <xf numFmtId="0" fontId="22" fillId="6" borderId="30" xfId="0" applyFont="1" applyFill="1" applyBorder="1" applyAlignment="1">
      <alignment horizontal="center" vertical="center" wrapText="1"/>
    </xf>
    <xf numFmtId="0" fontId="3" fillId="0" borderId="31" xfId="0" applyFont="1" applyBorder="1"/>
    <xf numFmtId="0" fontId="8" fillId="3" borderId="5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/>
    <xf numFmtId="49" fontId="10" fillId="0" borderId="18" xfId="0" applyNumberFormat="1" applyFont="1" applyBorder="1" applyAlignment="1">
      <alignment horizontal="center" vertical="center"/>
    </xf>
    <xf numFmtId="0" fontId="3" fillId="0" borderId="20" xfId="0" applyFont="1" applyBorder="1"/>
    <xf numFmtId="49" fontId="10" fillId="0" borderId="27" xfId="0" applyNumberFormat="1" applyFont="1" applyBorder="1" applyAlignment="1">
      <alignment horizontal="center" vertical="center"/>
    </xf>
    <xf numFmtId="0" fontId="3" fillId="0" borderId="28" xfId="0" applyFont="1" applyBorder="1"/>
    <xf numFmtId="0" fontId="15" fillId="0" borderId="0" xfId="0" applyFont="1" applyAlignment="1">
      <alignment horizontal="center"/>
    </xf>
    <xf numFmtId="0" fontId="16" fillId="4" borderId="30" xfId="0" applyFont="1" applyFill="1" applyBorder="1" applyAlignment="1">
      <alignment horizontal="center" vertical="center" wrapText="1"/>
    </xf>
    <xf numFmtId="0" fontId="18" fillId="5" borderId="30" xfId="0" applyFont="1" applyFill="1" applyBorder="1" applyAlignment="1">
      <alignment horizontal="center" vertical="center" wrapText="1"/>
    </xf>
    <xf numFmtId="0" fontId="25" fillId="2" borderId="45" xfId="0" applyFont="1" applyFill="1" applyBorder="1" applyAlignment="1">
      <alignment horizontal="center" vertical="center"/>
    </xf>
    <xf numFmtId="0" fontId="3" fillId="0" borderId="43" xfId="0" applyFont="1" applyBorder="1"/>
    <xf numFmtId="0" fontId="3" fillId="0" borderId="46" xfId="0" applyFont="1" applyBorder="1"/>
    <xf numFmtId="0" fontId="24" fillId="3" borderId="45" xfId="0" applyFont="1" applyFill="1" applyBorder="1" applyAlignment="1">
      <alignment horizontal="left" vertical="center"/>
    </xf>
    <xf numFmtId="0" fontId="28" fillId="0" borderId="24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 wrapText="1"/>
    </xf>
    <xf numFmtId="0" fontId="25" fillId="2" borderId="40" xfId="0" applyFont="1" applyFill="1" applyBorder="1" applyAlignment="1">
      <alignment horizontal="center" vertical="center"/>
    </xf>
    <xf numFmtId="0" fontId="3" fillId="0" borderId="38" xfId="0" applyFont="1" applyBorder="1"/>
    <xf numFmtId="0" fontId="3" fillId="0" borderId="42" xfId="0" applyFont="1" applyBorder="1"/>
    <xf numFmtId="0" fontId="24" fillId="3" borderId="40" xfId="0" applyFont="1" applyFill="1" applyBorder="1" applyAlignment="1">
      <alignment horizontal="left" vertical="center"/>
    </xf>
    <xf numFmtId="0" fontId="26" fillId="2" borderId="6" xfId="0" applyFont="1" applyFill="1" applyBorder="1" applyAlignment="1">
      <alignment horizontal="center" vertical="center"/>
    </xf>
    <xf numFmtId="0" fontId="3" fillId="0" borderId="32" xfId="0" applyFont="1" applyBorder="1"/>
    <xf numFmtId="0" fontId="3" fillId="0" borderId="8" xfId="0" applyFont="1" applyBorder="1"/>
    <xf numFmtId="0" fontId="18" fillId="11" borderId="5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3" fillId="0" borderId="35" xfId="0" applyFont="1" applyBorder="1"/>
    <xf numFmtId="0" fontId="3" fillId="0" borderId="36" xfId="0" applyFont="1" applyBorder="1"/>
    <xf numFmtId="0" fontId="24" fillId="3" borderId="13" xfId="0" applyFont="1" applyFill="1" applyBorder="1" applyAlignment="1">
      <alignment horizontal="left" vertical="center"/>
    </xf>
    <xf numFmtId="0" fontId="3" fillId="0" borderId="39" xfId="0" applyFont="1" applyBorder="1"/>
    <xf numFmtId="0" fontId="24" fillId="3" borderId="27" xfId="0" applyFont="1" applyFill="1" applyBorder="1" applyAlignment="1">
      <alignment horizontal="left" vertical="center"/>
    </xf>
    <xf numFmtId="0" fontId="3" fillId="0" borderId="44" xfId="0" applyFont="1" applyBorder="1"/>
    <xf numFmtId="0" fontId="17" fillId="8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 wrapText="1"/>
    </xf>
    <xf numFmtId="0" fontId="4" fillId="7" borderId="30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0" fontId="40" fillId="8" borderId="6" xfId="0" applyFont="1" applyFill="1" applyBorder="1" applyAlignment="1">
      <alignment horizontal="left" vertical="center"/>
    </xf>
    <xf numFmtId="0" fontId="40" fillId="2" borderId="6" xfId="0" applyFont="1" applyFill="1" applyBorder="1" applyAlignment="1">
      <alignment horizontal="center" vertical="center"/>
    </xf>
    <xf numFmtId="0" fontId="3" fillId="0" borderId="57" xfId="0" applyFont="1" applyBorder="1"/>
    <xf numFmtId="0" fontId="39" fillId="0" borderId="2" xfId="0" applyFont="1" applyBorder="1" applyAlignment="1">
      <alignment horizontal="center" vertical="center"/>
    </xf>
    <xf numFmtId="0" fontId="3" fillId="0" borderId="2" xfId="0" applyFont="1" applyBorder="1"/>
    <xf numFmtId="0" fontId="40" fillId="3" borderId="6" xfId="0" applyFont="1" applyFill="1" applyBorder="1" applyAlignment="1">
      <alignment horizontal="center" vertical="center"/>
    </xf>
    <xf numFmtId="0" fontId="40" fillId="8" borderId="55" xfId="0" applyFont="1" applyFill="1" applyBorder="1" applyAlignment="1">
      <alignment horizontal="left" vertical="center"/>
    </xf>
    <xf numFmtId="0" fontId="3" fillId="0" borderId="56" xfId="0" applyFont="1" applyBorder="1"/>
    <xf numFmtId="14" fontId="40" fillId="2" borderId="6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3" fillId="0" borderId="21" xfId="0" applyFont="1" applyBorder="1" applyAlignment="1">
      <alignment horizontal="center" wrapText="1"/>
    </xf>
    <xf numFmtId="0" fontId="13" fillId="0" borderId="32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10" xfId="0" applyFont="1" applyBorder="1"/>
    <xf numFmtId="0" fontId="3" fillId="0" borderId="11" xfId="0" applyFont="1" applyBorder="1"/>
    <xf numFmtId="0" fontId="7" fillId="0" borderId="6" xfId="0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17" fillId="0" borderId="32" xfId="0" applyFont="1" applyBorder="1" applyAlignment="1">
      <alignment horizontal="center" wrapText="1"/>
    </xf>
    <xf numFmtId="14" fontId="13" fillId="0" borderId="32" xfId="0" applyNumberFormat="1" applyFont="1" applyBorder="1" applyAlignment="1">
      <alignment horizontal="center" wrapText="1"/>
    </xf>
    <xf numFmtId="0" fontId="13" fillId="7" borderId="30" xfId="0" applyFont="1" applyFill="1" applyBorder="1" applyAlignment="1">
      <alignment horizontal="center" vertical="center" wrapText="1"/>
    </xf>
    <xf numFmtId="4" fontId="4" fillId="9" borderId="30" xfId="0" applyNumberFormat="1" applyFont="1" applyFill="1" applyBorder="1" applyAlignment="1">
      <alignment horizontal="center" vertical="center" wrapText="1"/>
    </xf>
    <xf numFmtId="0" fontId="36" fillId="0" borderId="66" xfId="0" applyFont="1" applyBorder="1"/>
    <xf numFmtId="0" fontId="0" fillId="0" borderId="64" xfId="0" applyBorder="1"/>
    <xf numFmtId="0" fontId="33" fillId="2" borderId="6" xfId="0" applyFont="1" applyFill="1" applyBorder="1" applyAlignment="1">
      <alignment horizontal="center"/>
    </xf>
    <xf numFmtId="0" fontId="33" fillId="2" borderId="48" xfId="0" applyFont="1" applyFill="1" applyBorder="1" applyAlignment="1">
      <alignment horizontal="center"/>
    </xf>
    <xf numFmtId="0" fontId="36" fillId="0" borderId="67" xfId="0" applyFont="1" applyBorder="1"/>
    <xf numFmtId="0" fontId="0" fillId="0" borderId="6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1</xdr:row>
      <xdr:rowOff>133350</xdr:rowOff>
    </xdr:from>
    <xdr:ext cx="2838450" cy="1200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85725</xdr:rowOff>
    </xdr:from>
    <xdr:ext cx="1466850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85725</xdr:rowOff>
    </xdr:from>
    <xdr:ext cx="1466850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upervisores/Desktop/SOLUCIONES%20MARINAS_2026/PP%202026%20-%20GLOBAL/PPN&#176;%2059%20(POTA%20A%20GRANEL)%2009-04-26.xlsm" TargetMode="External"/><Relationship Id="rId1" Type="http://schemas.openxmlformats.org/officeDocument/2006/relationships/externalLinkPath" Target="/Users/supervisores/Desktop/SOLUCIONES%20MARINAS_2026/PP%202026%20-%20GLOBAL/PPN&#176;%2059%20(POTA%20A%20GRANEL)%2009-04-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RTE DE PRODUCCIÓN"/>
      <sheetName val="RESUMEN COSTOS"/>
      <sheetName val="RECEPCION "/>
      <sheetName val="RECEPCION (2)"/>
      <sheetName val="TAREO DE ENVASADO"/>
      <sheetName val="NUQUERAS"/>
      <sheetName val="T1"/>
      <sheetName val="T2"/>
      <sheetName val="T3"/>
      <sheetName val="T4"/>
      <sheetName val="T5"/>
      <sheetName val="T6"/>
      <sheetName val="RESUMEN ENVASADO"/>
      <sheetName val="ENV. TUNEL 6"/>
      <sheetName val="ENV. PLACAS"/>
      <sheetName val="EM-PLA"/>
      <sheetName val="R-G"/>
      <sheetName val="EM-TUN"/>
      <sheetName val="EMPAQUE (RESUMEN)"/>
      <sheetName val="RENDIMIENTO"/>
      <sheetName val="COLORE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018"/>
  <sheetViews>
    <sheetView showGridLines="0" topLeftCell="C54" zoomScale="72" workbookViewId="0">
      <selection activeCell="L68" sqref="L68"/>
    </sheetView>
  </sheetViews>
  <sheetFormatPr baseColWidth="10" defaultColWidth="14.42578125" defaultRowHeight="15" customHeight="1"/>
  <cols>
    <col min="1" max="1" width="6.5703125" customWidth="1"/>
    <col min="2" max="2" width="20.140625" customWidth="1"/>
    <col min="3" max="3" width="17.42578125" customWidth="1"/>
    <col min="4" max="4" width="22.5703125" customWidth="1"/>
    <col min="5" max="5" width="17.42578125" customWidth="1"/>
    <col min="6" max="6" width="20.28515625" customWidth="1"/>
    <col min="7" max="7" width="17.42578125" customWidth="1"/>
    <col min="8" max="8" width="20.28515625" customWidth="1"/>
    <col min="9" max="9" width="17.42578125" customWidth="1"/>
    <col min="10" max="10" width="18.85546875" customWidth="1"/>
    <col min="11" max="11" width="17.42578125" customWidth="1"/>
    <col min="12" max="12" width="19.7109375" customWidth="1"/>
    <col min="13" max="13" width="17.42578125" customWidth="1"/>
    <col min="14" max="14" width="20.28515625" customWidth="1"/>
    <col min="15" max="15" width="17.42578125" customWidth="1"/>
    <col min="16" max="16" width="19.28515625" customWidth="1"/>
    <col min="17" max="17" width="17.42578125" customWidth="1"/>
    <col min="18" max="18" width="19.85546875" customWidth="1"/>
    <col min="19" max="22" width="17.42578125" customWidth="1"/>
    <col min="23" max="24" width="5.85546875" customWidth="1"/>
    <col min="25" max="25" width="6.85546875" customWidth="1"/>
    <col min="26" max="26" width="11.42578125" customWidth="1"/>
    <col min="27" max="27" width="12.42578125" customWidth="1"/>
    <col min="28" max="32" width="12.7109375" customWidth="1"/>
    <col min="33" max="33" width="21.140625" customWidth="1"/>
    <col min="34" max="34" width="14.140625" customWidth="1"/>
    <col min="35" max="35" width="13.28515625" customWidth="1"/>
    <col min="36" max="41" width="11.42578125" customWidth="1"/>
  </cols>
  <sheetData>
    <row r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23.25" customHeight="1">
      <c r="A2" s="115"/>
      <c r="B2" s="145"/>
      <c r="C2" s="98"/>
      <c r="D2" s="99"/>
      <c r="E2" s="120" t="s">
        <v>4</v>
      </c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9"/>
      <c r="T2" s="3" t="s">
        <v>5</v>
      </c>
      <c r="U2" s="122" t="s">
        <v>7</v>
      </c>
      <c r="V2" s="123"/>
      <c r="W2" s="4"/>
      <c r="X2" s="4"/>
      <c r="Y2" s="5"/>
      <c r="Z2" s="6" t="s">
        <v>8</v>
      </c>
      <c r="AA2" s="6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23.25" customHeight="1">
      <c r="A3" s="116"/>
      <c r="B3" s="121"/>
      <c r="C3" s="113"/>
      <c r="D3" s="89"/>
      <c r="E3" s="121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89"/>
      <c r="T3" s="3" t="s">
        <v>11</v>
      </c>
      <c r="U3" s="124" t="s">
        <v>12</v>
      </c>
      <c r="V3" s="125"/>
      <c r="W3" s="4"/>
      <c r="X3" s="4"/>
      <c r="Y3" s="5"/>
      <c r="Z3" s="6" t="s">
        <v>13</v>
      </c>
      <c r="AA3" s="6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67.5" customHeight="1">
      <c r="A4" s="116"/>
      <c r="B4" s="100"/>
      <c r="C4" s="101"/>
      <c r="D4" s="102"/>
      <c r="E4" s="100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2"/>
      <c r="T4" s="8" t="s">
        <v>15</v>
      </c>
      <c r="U4" s="126" t="s">
        <v>16</v>
      </c>
      <c r="V4" s="127"/>
      <c r="W4" s="4"/>
      <c r="X4" s="4"/>
      <c r="Y4" s="9"/>
      <c r="Z4" s="6" t="s">
        <v>17</v>
      </c>
      <c r="AA4" s="11"/>
      <c r="AB4" s="112"/>
      <c r="AC4" s="113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5.75" customHeight="1">
      <c r="A5" s="116"/>
      <c r="B5" s="128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4"/>
      <c r="X5" s="4"/>
      <c r="Y5" s="5"/>
      <c r="Z5" s="6"/>
      <c r="AA5" s="114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29.25" customHeight="1">
      <c r="A6" s="116"/>
      <c r="B6" s="129" t="s">
        <v>20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91"/>
      <c r="W6" s="4"/>
      <c r="X6" s="4"/>
      <c r="Y6" s="15"/>
      <c r="Z6" s="6"/>
      <c r="AA6" s="113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51" customHeight="1">
      <c r="A7" s="116"/>
      <c r="B7" s="146" t="s">
        <v>25</v>
      </c>
      <c r="C7" s="147"/>
      <c r="D7" s="148"/>
      <c r="E7" s="130" t="s">
        <v>28</v>
      </c>
      <c r="F7" s="91"/>
      <c r="G7" s="130" t="s">
        <v>29</v>
      </c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91"/>
      <c r="S7" s="130" t="s">
        <v>32</v>
      </c>
      <c r="T7" s="119"/>
      <c r="U7" s="119"/>
      <c r="V7" s="91"/>
      <c r="W7" s="4"/>
      <c r="X7" s="19"/>
      <c r="Y7" s="21"/>
      <c r="Z7" s="22"/>
      <c r="AA7" s="22"/>
      <c r="AB7" s="6" t="s">
        <v>21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54" customHeight="1">
      <c r="A8" s="117"/>
      <c r="B8" s="118" t="s">
        <v>37</v>
      </c>
      <c r="C8" s="119"/>
      <c r="D8" s="91"/>
      <c r="E8" s="118">
        <v>2060033416</v>
      </c>
      <c r="F8" s="91"/>
      <c r="G8" s="136" t="s">
        <v>39</v>
      </c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91"/>
      <c r="S8" s="136" t="s">
        <v>40</v>
      </c>
      <c r="T8" s="119"/>
      <c r="U8" s="119"/>
      <c r="V8" s="91"/>
      <c r="W8" s="4"/>
      <c r="X8" s="19"/>
      <c r="Y8" s="24"/>
      <c r="Z8" s="22"/>
      <c r="AA8" s="22"/>
      <c r="AB8" s="6" t="s">
        <v>41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16.5" customHeight="1">
      <c r="A9" s="26"/>
      <c r="B9" s="27"/>
      <c r="C9" s="27"/>
      <c r="D9" s="27"/>
      <c r="E9" s="27"/>
      <c r="F9" s="27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4"/>
      <c r="X9" s="19"/>
      <c r="Y9" s="24"/>
      <c r="Z9" s="22"/>
      <c r="AA9" s="22"/>
      <c r="AB9" s="6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24.75" customHeight="1">
      <c r="A10" s="26"/>
      <c r="B10" s="149" t="s">
        <v>18</v>
      </c>
      <c r="C10" s="138"/>
      <c r="D10" s="150"/>
      <c r="E10" s="137" t="s">
        <v>43</v>
      </c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9"/>
      <c r="Q10" s="140" t="s">
        <v>46</v>
      </c>
      <c r="R10" s="138"/>
      <c r="S10" s="139"/>
      <c r="T10" s="141" t="s">
        <v>47</v>
      </c>
      <c r="U10" s="142"/>
      <c r="V10" s="143"/>
      <c r="W10" s="4"/>
      <c r="X10" s="19"/>
      <c r="Y10" s="24"/>
      <c r="Z10" s="22"/>
      <c r="AA10" s="22"/>
      <c r="AB10" s="22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24.75" customHeight="1">
      <c r="A11" s="26"/>
      <c r="B11" s="151" t="s">
        <v>52</v>
      </c>
      <c r="C11" s="132"/>
      <c r="D11" s="152"/>
      <c r="E11" s="131" t="s">
        <v>53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3"/>
      <c r="Q11" s="134" t="s">
        <v>54</v>
      </c>
      <c r="R11" s="132"/>
      <c r="S11" s="133"/>
      <c r="T11" s="31"/>
      <c r="U11" s="31">
        <v>46227</v>
      </c>
      <c r="V11" s="32"/>
      <c r="W11" s="1"/>
      <c r="X11" s="22"/>
      <c r="Y11" s="33"/>
      <c r="Z11" s="22"/>
      <c r="AA11" s="22"/>
      <c r="AB11" s="22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15.75">
      <c r="A12" s="26"/>
      <c r="B12" s="135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"/>
      <c r="X12" s="22"/>
      <c r="Y12" s="33"/>
      <c r="Z12" s="22"/>
      <c r="AA12" s="22"/>
      <c r="AB12" s="22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ht="15.75">
      <c r="A13" s="26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1"/>
      <c r="X13" s="22"/>
      <c r="Y13" s="33"/>
      <c r="Z13" s="22"/>
      <c r="AA13" s="22"/>
      <c r="AB13" s="22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ht="27" customHeight="1">
      <c r="A14" s="26"/>
      <c r="B14" s="38" t="s">
        <v>56</v>
      </c>
      <c r="C14" s="144" t="s">
        <v>21</v>
      </c>
      <c r="D14" s="91"/>
      <c r="E14" s="144" t="s">
        <v>21</v>
      </c>
      <c r="F14" s="91"/>
      <c r="G14" s="144" t="s">
        <v>21</v>
      </c>
      <c r="H14" s="91"/>
      <c r="I14" s="144" t="s">
        <v>21</v>
      </c>
      <c r="J14" s="91"/>
      <c r="K14" s="144" t="s">
        <v>21</v>
      </c>
      <c r="L14" s="91"/>
      <c r="M14" s="144" t="s">
        <v>21</v>
      </c>
      <c r="N14" s="91"/>
      <c r="O14" s="144" t="s">
        <v>21</v>
      </c>
      <c r="P14" s="91"/>
      <c r="Q14" s="144" t="s">
        <v>21</v>
      </c>
      <c r="R14" s="91"/>
      <c r="S14" s="144" t="s">
        <v>21</v>
      </c>
      <c r="T14" s="91"/>
      <c r="U14" s="144" t="s">
        <v>21</v>
      </c>
      <c r="V14" s="91"/>
      <c r="W14" s="22"/>
      <c r="X14" s="22"/>
      <c r="Y14" s="33"/>
      <c r="Z14" s="22"/>
      <c r="AA14" s="22"/>
      <c r="AB14" s="22"/>
      <c r="AC14" s="22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ht="26.25" customHeight="1">
      <c r="A15" s="1"/>
      <c r="B15" s="39" t="s">
        <v>58</v>
      </c>
      <c r="C15" s="90" t="s">
        <v>59</v>
      </c>
      <c r="D15" s="91"/>
      <c r="E15" s="92" t="s">
        <v>60</v>
      </c>
      <c r="F15" s="91"/>
      <c r="G15" s="92" t="s">
        <v>61</v>
      </c>
      <c r="H15" s="91"/>
      <c r="I15" s="92"/>
      <c r="J15" s="91"/>
      <c r="K15" s="88"/>
      <c r="L15" s="89"/>
      <c r="M15" s="88"/>
      <c r="N15" s="89"/>
      <c r="O15" s="88"/>
      <c r="P15" s="89"/>
      <c r="Q15" s="88"/>
      <c r="R15" s="89"/>
      <c r="S15" s="88"/>
      <c r="T15" s="89"/>
      <c r="U15" s="88"/>
      <c r="V15" s="89"/>
      <c r="W15" s="22"/>
      <c r="X15" s="22"/>
      <c r="Y15" s="40"/>
      <c r="Z15" s="41"/>
      <c r="AA15" s="41"/>
      <c r="AB15" s="41"/>
      <c r="AC15" s="41"/>
      <c r="AD15" s="42"/>
      <c r="AE15" s="42"/>
      <c r="AF15" s="42"/>
      <c r="AG15" s="42"/>
      <c r="AH15" s="42"/>
      <c r="AI15" s="42"/>
      <c r="AJ15" s="42"/>
      <c r="AK15" s="42"/>
      <c r="AL15" s="1"/>
      <c r="AM15" s="1"/>
      <c r="AN15" s="1"/>
      <c r="AO15" s="1"/>
    </row>
    <row r="16" spans="1:41" ht="45">
      <c r="A16" s="1"/>
      <c r="B16" s="43" t="s">
        <v>64</v>
      </c>
      <c r="C16" s="93">
        <v>1</v>
      </c>
      <c r="D16" s="91"/>
      <c r="E16" s="93">
        <v>2</v>
      </c>
      <c r="F16" s="91"/>
      <c r="G16" s="94">
        <v>3</v>
      </c>
      <c r="H16" s="91"/>
      <c r="I16" s="93">
        <v>4</v>
      </c>
      <c r="J16" s="91"/>
      <c r="K16" s="93">
        <v>5</v>
      </c>
      <c r="L16" s="91"/>
      <c r="M16" s="94">
        <v>6</v>
      </c>
      <c r="N16" s="91"/>
      <c r="O16" s="93">
        <v>7</v>
      </c>
      <c r="P16" s="91"/>
      <c r="Q16" s="93">
        <v>8</v>
      </c>
      <c r="R16" s="91"/>
      <c r="S16" s="93">
        <v>9</v>
      </c>
      <c r="T16" s="91"/>
      <c r="U16" s="93">
        <v>10</v>
      </c>
      <c r="V16" s="91"/>
      <c r="W16" s="22"/>
      <c r="X16" s="22"/>
      <c r="Y16" s="40"/>
      <c r="Z16" s="41"/>
      <c r="AA16" s="41"/>
      <c r="AB16" s="41"/>
      <c r="AC16" s="41"/>
      <c r="AD16" s="42"/>
      <c r="AE16" s="42"/>
      <c r="AF16" s="42"/>
      <c r="AG16" s="42"/>
      <c r="AH16" s="42"/>
      <c r="AI16" s="42"/>
      <c r="AJ16" s="42"/>
      <c r="AK16" s="42"/>
      <c r="AL16" s="1"/>
      <c r="AM16" s="1"/>
      <c r="AN16" s="1"/>
      <c r="AO16" s="1"/>
    </row>
    <row r="17" spans="1:41" ht="54" customHeight="1">
      <c r="A17" s="1"/>
      <c r="B17" s="44" t="s">
        <v>65</v>
      </c>
      <c r="C17" s="45" t="s">
        <v>13</v>
      </c>
      <c r="D17" s="45" t="s">
        <v>8</v>
      </c>
      <c r="E17" s="45" t="s">
        <v>13</v>
      </c>
      <c r="F17" s="45" t="s">
        <v>8</v>
      </c>
      <c r="G17" s="45" t="s">
        <v>13</v>
      </c>
      <c r="H17" s="45" t="s">
        <v>8</v>
      </c>
      <c r="I17" s="45" t="s">
        <v>8</v>
      </c>
      <c r="J17" s="45" t="s">
        <v>17</v>
      </c>
      <c r="K17" s="45" t="s">
        <v>13</v>
      </c>
      <c r="L17" s="45" t="s">
        <v>17</v>
      </c>
      <c r="M17" s="45" t="s">
        <v>13</v>
      </c>
      <c r="N17" s="45" t="s">
        <v>17</v>
      </c>
      <c r="O17" s="45" t="s">
        <v>13</v>
      </c>
      <c r="P17" s="45" t="s">
        <v>17</v>
      </c>
      <c r="Q17" s="45" t="s">
        <v>8</v>
      </c>
      <c r="R17" s="45" t="s">
        <v>17</v>
      </c>
      <c r="S17" s="45" t="s">
        <v>8</v>
      </c>
      <c r="T17" s="45" t="s">
        <v>17</v>
      </c>
      <c r="U17" s="45" t="s">
        <v>8</v>
      </c>
      <c r="V17" s="45" t="s">
        <v>17</v>
      </c>
      <c r="W17" s="1"/>
      <c r="X17" s="1"/>
      <c r="Y17" s="46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1"/>
      <c r="AM17" s="1"/>
      <c r="AN17" s="1"/>
      <c r="AO17" s="1"/>
    </row>
    <row r="18" spans="1:41" ht="21" customHeight="1">
      <c r="A18" s="1"/>
      <c r="B18" s="47">
        <v>1</v>
      </c>
      <c r="C18" s="48">
        <v>542.6</v>
      </c>
      <c r="D18" s="49"/>
      <c r="E18" s="49"/>
      <c r="F18" s="48">
        <v>541.4</v>
      </c>
      <c r="G18" s="48"/>
      <c r="H18" s="48"/>
      <c r="I18" s="48"/>
      <c r="J18" s="50"/>
      <c r="K18" s="51"/>
      <c r="L18" s="51"/>
      <c r="M18" s="51"/>
      <c r="N18" s="52"/>
      <c r="O18" s="52"/>
      <c r="P18" s="52"/>
      <c r="Q18" s="52"/>
      <c r="R18" s="52"/>
      <c r="S18" s="52"/>
      <c r="T18" s="52"/>
      <c r="U18" s="52"/>
      <c r="V18" s="52"/>
      <c r="W18" s="1"/>
      <c r="X18" s="1"/>
      <c r="Y18" s="46"/>
      <c r="Z18" s="42"/>
      <c r="AA18" s="42"/>
      <c r="AB18" s="42"/>
      <c r="AC18" s="42"/>
      <c r="AD18" s="53"/>
      <c r="AE18" s="53"/>
      <c r="AF18" s="53"/>
      <c r="AG18" s="53"/>
      <c r="AH18" s="53"/>
      <c r="AI18" s="53"/>
      <c r="AJ18" s="53"/>
      <c r="AK18" s="53"/>
      <c r="AL18" s="54"/>
      <c r="AM18" s="54"/>
      <c r="AN18" s="54"/>
      <c r="AO18" s="54"/>
    </row>
    <row r="19" spans="1:41" ht="21" customHeight="1">
      <c r="A19" s="1"/>
      <c r="B19" s="55">
        <v>2</v>
      </c>
      <c r="C19" s="56"/>
      <c r="D19" s="48">
        <v>519</v>
      </c>
      <c r="E19" s="48">
        <v>521</v>
      </c>
      <c r="F19" s="48"/>
      <c r="G19" s="49"/>
      <c r="H19" s="49"/>
      <c r="I19" s="49"/>
      <c r="J19" s="49"/>
      <c r="K19" s="57"/>
      <c r="L19" s="51"/>
      <c r="M19" s="51"/>
      <c r="N19" s="52"/>
      <c r="O19" s="52"/>
      <c r="P19" s="52"/>
      <c r="Q19" s="52"/>
      <c r="R19" s="52"/>
      <c r="S19" s="52"/>
      <c r="T19" s="52"/>
      <c r="U19" s="52"/>
      <c r="V19" s="52"/>
      <c r="W19" s="1"/>
      <c r="X19" s="1"/>
      <c r="Y19" s="46"/>
      <c r="Z19" s="42"/>
      <c r="AA19" s="42"/>
      <c r="AB19" s="42"/>
      <c r="AC19" s="42"/>
      <c r="AD19" s="53"/>
      <c r="AE19" s="53"/>
      <c r="AF19" s="53"/>
      <c r="AG19" s="53"/>
      <c r="AH19" s="53"/>
      <c r="AI19" s="53"/>
      <c r="AJ19" s="53"/>
      <c r="AK19" s="53"/>
      <c r="AL19" s="54"/>
      <c r="AM19" s="54"/>
      <c r="AN19" s="54"/>
      <c r="AO19" s="54"/>
    </row>
    <row r="20" spans="1:41" ht="21" customHeight="1">
      <c r="A20" s="1"/>
      <c r="B20" s="55">
        <v>3</v>
      </c>
      <c r="C20" s="48">
        <v>541.79999999999995</v>
      </c>
      <c r="D20" s="48"/>
      <c r="E20" s="48"/>
      <c r="F20" s="48">
        <v>498.2</v>
      </c>
      <c r="G20" s="49"/>
      <c r="H20" s="49"/>
      <c r="I20" s="49"/>
      <c r="J20" s="49"/>
      <c r="K20" s="56"/>
      <c r="L20" s="51"/>
      <c r="M20" s="51"/>
      <c r="N20" s="52"/>
      <c r="O20" s="52"/>
      <c r="P20" s="52"/>
      <c r="Q20" s="52"/>
      <c r="R20" s="52"/>
      <c r="S20" s="52"/>
      <c r="T20" s="52"/>
      <c r="U20" s="52"/>
      <c r="V20" s="52"/>
      <c r="W20" s="1"/>
      <c r="X20" s="1"/>
      <c r="Y20" s="46"/>
      <c r="Z20" s="42"/>
      <c r="AA20" s="42"/>
      <c r="AB20" s="42"/>
      <c r="AC20" s="42"/>
      <c r="AD20" s="53"/>
      <c r="AE20" s="53"/>
      <c r="AF20" s="53"/>
      <c r="AG20" s="53"/>
      <c r="AH20" s="53"/>
      <c r="AI20" s="53"/>
      <c r="AJ20" s="53"/>
      <c r="AK20" s="53"/>
      <c r="AL20" s="54"/>
      <c r="AM20" s="54"/>
      <c r="AN20" s="54"/>
      <c r="AO20" s="54"/>
    </row>
    <row r="21" spans="1:41" ht="21" customHeight="1">
      <c r="A21" s="1"/>
      <c r="B21" s="55">
        <v>4</v>
      </c>
      <c r="C21" s="48"/>
      <c r="D21" s="48">
        <v>535.6</v>
      </c>
      <c r="E21" s="48">
        <v>540.6</v>
      </c>
      <c r="F21" s="48"/>
      <c r="G21" s="49"/>
      <c r="H21" s="49"/>
      <c r="I21" s="49"/>
      <c r="J21" s="49"/>
      <c r="K21" s="58"/>
      <c r="L21" s="51"/>
      <c r="M21" s="51"/>
      <c r="N21" s="52"/>
      <c r="O21" s="52"/>
      <c r="P21" s="52"/>
      <c r="Q21" s="52"/>
      <c r="R21" s="52"/>
      <c r="S21" s="52"/>
      <c r="T21" s="52"/>
      <c r="U21" s="52"/>
      <c r="V21" s="52"/>
      <c r="W21" s="1"/>
      <c r="X21" s="1"/>
      <c r="Y21" s="46"/>
      <c r="Z21" s="42"/>
      <c r="AA21" s="42"/>
      <c r="AB21" s="42"/>
      <c r="AC21" s="42"/>
      <c r="AD21" s="53"/>
      <c r="AE21" s="53"/>
      <c r="AF21" s="53"/>
      <c r="AG21" s="53"/>
      <c r="AH21" s="53"/>
      <c r="AI21" s="53"/>
      <c r="AJ21" s="53"/>
      <c r="AK21" s="53"/>
      <c r="AL21" s="54"/>
      <c r="AM21" s="54"/>
      <c r="AN21" s="54"/>
      <c r="AO21" s="54"/>
    </row>
    <row r="22" spans="1:41" ht="21" customHeight="1">
      <c r="A22" s="1"/>
      <c r="B22" s="47">
        <v>5</v>
      </c>
      <c r="C22" s="48">
        <v>542.20000000000005</v>
      </c>
      <c r="D22" s="48"/>
      <c r="E22" s="48"/>
      <c r="F22" s="48">
        <v>541.6</v>
      </c>
      <c r="G22" s="49"/>
      <c r="H22" s="49"/>
      <c r="I22" s="49"/>
      <c r="J22" s="49"/>
      <c r="K22" s="58"/>
      <c r="L22" s="51"/>
      <c r="M22" s="51"/>
      <c r="N22" s="52"/>
      <c r="O22" s="52"/>
      <c r="P22" s="52"/>
      <c r="Q22" s="52"/>
      <c r="R22" s="52"/>
      <c r="S22" s="52"/>
      <c r="T22" s="52"/>
      <c r="U22" s="52"/>
      <c r="V22" s="52"/>
      <c r="W22" s="1"/>
      <c r="X22" s="1"/>
      <c r="Y22" s="46"/>
      <c r="Z22" s="42"/>
      <c r="AA22" s="42"/>
      <c r="AB22" s="42"/>
      <c r="AC22" s="42"/>
      <c r="AD22" s="53"/>
      <c r="AE22" s="53"/>
      <c r="AF22" s="53"/>
      <c r="AG22" s="53"/>
      <c r="AH22" s="53"/>
      <c r="AI22" s="53"/>
      <c r="AJ22" s="53"/>
      <c r="AK22" s="53"/>
      <c r="AL22" s="54"/>
      <c r="AM22" s="54"/>
      <c r="AN22" s="54"/>
      <c r="AO22" s="54"/>
    </row>
    <row r="23" spans="1:41" ht="21" customHeight="1">
      <c r="A23" s="1"/>
      <c r="B23" s="55">
        <v>6</v>
      </c>
      <c r="C23" s="48"/>
      <c r="D23" s="48">
        <v>543</v>
      </c>
      <c r="E23" s="48">
        <v>524.6</v>
      </c>
      <c r="F23" s="48"/>
      <c r="G23" s="49"/>
      <c r="H23" s="49"/>
      <c r="I23" s="49"/>
      <c r="J23" s="49"/>
      <c r="K23" s="58"/>
      <c r="L23" s="51"/>
      <c r="M23" s="51"/>
      <c r="N23" s="52"/>
      <c r="O23" s="52"/>
      <c r="P23" s="52"/>
      <c r="Q23" s="52"/>
      <c r="R23" s="52"/>
      <c r="S23" s="52"/>
      <c r="T23" s="52"/>
      <c r="U23" s="52"/>
      <c r="V23" s="52"/>
      <c r="W23" s="1"/>
      <c r="X23" s="1"/>
      <c r="Y23" s="46"/>
      <c r="Z23" s="42"/>
      <c r="AA23" s="42"/>
      <c r="AB23" s="42"/>
      <c r="AC23" s="42"/>
      <c r="AD23" s="53"/>
      <c r="AE23" s="53"/>
      <c r="AF23" s="53"/>
      <c r="AG23" s="53"/>
      <c r="AH23" s="53"/>
      <c r="AI23" s="53"/>
      <c r="AJ23" s="53"/>
      <c r="AK23" s="53"/>
      <c r="AL23" s="54"/>
      <c r="AM23" s="54"/>
      <c r="AN23" s="54"/>
      <c r="AO23" s="54"/>
    </row>
    <row r="24" spans="1:41" ht="21" customHeight="1">
      <c r="A24" s="1"/>
      <c r="B24" s="55">
        <v>7</v>
      </c>
      <c r="C24" s="48">
        <v>518.6</v>
      </c>
      <c r="D24" s="48"/>
      <c r="E24" s="48"/>
      <c r="F24" s="48">
        <v>539.6</v>
      </c>
      <c r="G24" s="49"/>
      <c r="H24" s="49"/>
      <c r="I24" s="49"/>
      <c r="J24" s="49"/>
      <c r="K24" s="58"/>
      <c r="L24" s="51"/>
      <c r="M24" s="51"/>
      <c r="N24" s="52"/>
      <c r="O24" s="52"/>
      <c r="P24" s="52"/>
      <c r="Q24" s="52"/>
      <c r="R24" s="52"/>
      <c r="S24" s="52"/>
      <c r="T24" s="52"/>
      <c r="U24" s="52"/>
      <c r="V24" s="52"/>
      <c r="W24" s="1"/>
      <c r="X24" s="1"/>
      <c r="Y24" s="46"/>
      <c r="Z24" s="42"/>
      <c r="AA24" s="42"/>
      <c r="AB24" s="42"/>
      <c r="AC24" s="42"/>
      <c r="AD24" s="53"/>
      <c r="AE24" s="53"/>
      <c r="AF24" s="53"/>
      <c r="AG24" s="53"/>
      <c r="AH24" s="53"/>
      <c r="AI24" s="53"/>
      <c r="AJ24" s="53"/>
      <c r="AK24" s="53"/>
      <c r="AL24" s="54"/>
      <c r="AM24" s="54"/>
      <c r="AN24" s="54"/>
      <c r="AO24" s="54"/>
    </row>
    <row r="25" spans="1:41" ht="21" customHeight="1">
      <c r="A25" s="1"/>
      <c r="B25" s="55">
        <v>8</v>
      </c>
      <c r="C25" s="48"/>
      <c r="D25" s="48">
        <v>541</v>
      </c>
      <c r="E25" s="48">
        <v>529.79999999999995</v>
      </c>
      <c r="F25" s="48"/>
      <c r="G25" s="49"/>
      <c r="H25" s="49"/>
      <c r="I25" s="49"/>
      <c r="J25" s="49"/>
      <c r="K25" s="58"/>
      <c r="L25" s="51"/>
      <c r="M25" s="51"/>
      <c r="N25" s="52"/>
      <c r="O25" s="52"/>
      <c r="P25" s="52"/>
      <c r="Q25" s="52"/>
      <c r="R25" s="52"/>
      <c r="S25" s="52"/>
      <c r="T25" s="52"/>
      <c r="U25" s="52"/>
      <c r="V25" s="52"/>
      <c r="W25" s="1"/>
      <c r="X25" s="1"/>
      <c r="Y25" s="46"/>
      <c r="Z25" s="42"/>
      <c r="AA25" s="42"/>
      <c r="AB25" s="42"/>
      <c r="AC25" s="42"/>
      <c r="AD25" s="53"/>
      <c r="AE25" s="53"/>
      <c r="AF25" s="53"/>
      <c r="AG25" s="53"/>
      <c r="AH25" s="53"/>
      <c r="AI25" s="53"/>
      <c r="AJ25" s="53"/>
      <c r="AK25" s="53"/>
      <c r="AL25" s="54"/>
      <c r="AM25" s="54"/>
      <c r="AN25" s="54"/>
      <c r="AO25" s="54"/>
    </row>
    <row r="26" spans="1:41" ht="21" customHeight="1">
      <c r="A26" s="1"/>
      <c r="B26" s="47">
        <v>9</v>
      </c>
      <c r="C26" s="48">
        <v>535.20000000000005</v>
      </c>
      <c r="D26" s="48"/>
      <c r="E26" s="48"/>
      <c r="F26" s="48">
        <v>542</v>
      </c>
      <c r="G26" s="49"/>
      <c r="H26" s="49"/>
      <c r="I26" s="49"/>
      <c r="J26" s="49"/>
      <c r="K26" s="58"/>
      <c r="L26" s="51"/>
      <c r="M26" s="51"/>
      <c r="N26" s="52"/>
      <c r="O26" s="52"/>
      <c r="P26" s="52"/>
      <c r="Q26" s="52"/>
      <c r="R26" s="52"/>
      <c r="S26" s="52"/>
      <c r="T26" s="52"/>
      <c r="U26" s="52"/>
      <c r="V26" s="52"/>
      <c r="W26" s="1"/>
      <c r="X26" s="1"/>
      <c r="Y26" s="46"/>
      <c r="Z26" s="42"/>
      <c r="AA26" s="42"/>
      <c r="AB26" s="42"/>
      <c r="AC26" s="42"/>
      <c r="AD26" s="53"/>
      <c r="AE26" s="53"/>
      <c r="AF26" s="53"/>
      <c r="AG26" s="53"/>
      <c r="AH26" s="53"/>
      <c r="AI26" s="53"/>
      <c r="AJ26" s="53"/>
      <c r="AK26" s="53"/>
      <c r="AL26" s="54"/>
      <c r="AM26" s="54"/>
      <c r="AN26" s="54"/>
      <c r="AO26" s="54"/>
    </row>
    <row r="27" spans="1:41" ht="21" customHeight="1">
      <c r="A27" s="1"/>
      <c r="B27" s="55">
        <v>10</v>
      </c>
      <c r="C27" s="49"/>
      <c r="D27" s="49">
        <v>536</v>
      </c>
      <c r="E27" s="48">
        <v>536.20000000000005</v>
      </c>
      <c r="F27" s="49"/>
      <c r="G27" s="49"/>
      <c r="H27" s="49"/>
      <c r="I27" s="49"/>
      <c r="J27" s="49"/>
      <c r="K27" s="58"/>
      <c r="L27" s="51"/>
      <c r="M27" s="51"/>
      <c r="N27" s="52"/>
      <c r="O27" s="52"/>
      <c r="P27" s="52"/>
      <c r="Q27" s="52"/>
      <c r="R27" s="52"/>
      <c r="S27" s="52"/>
      <c r="T27" s="52"/>
      <c r="U27" s="52"/>
      <c r="V27" s="52"/>
      <c r="W27" s="1"/>
      <c r="X27" s="1"/>
      <c r="Y27" s="46"/>
      <c r="Z27" s="42"/>
      <c r="AA27" s="42"/>
      <c r="AB27" s="42"/>
      <c r="AC27" s="42"/>
      <c r="AD27" s="53"/>
      <c r="AE27" s="53"/>
      <c r="AF27" s="53"/>
      <c r="AG27" s="53"/>
      <c r="AH27" s="53"/>
      <c r="AI27" s="53"/>
      <c r="AJ27" s="53"/>
      <c r="AK27" s="53"/>
      <c r="AL27" s="54"/>
      <c r="AM27" s="54"/>
      <c r="AN27" s="54"/>
      <c r="AO27" s="54"/>
    </row>
    <row r="28" spans="1:41" ht="21" customHeight="1">
      <c r="A28" s="1"/>
      <c r="B28" s="55">
        <v>11</v>
      </c>
      <c r="C28" s="48">
        <v>539.79999999999995</v>
      </c>
      <c r="D28" s="48"/>
      <c r="E28" s="49"/>
      <c r="F28" s="48">
        <v>542.6</v>
      </c>
      <c r="G28" s="49"/>
      <c r="H28" s="49"/>
      <c r="I28" s="49"/>
      <c r="J28" s="49"/>
      <c r="K28" s="58"/>
      <c r="L28" s="51"/>
      <c r="M28" s="51"/>
      <c r="N28" s="52"/>
      <c r="O28" s="52"/>
      <c r="P28" s="52"/>
      <c r="Q28" s="52"/>
      <c r="R28" s="52"/>
      <c r="S28" s="52"/>
      <c r="T28" s="52"/>
      <c r="U28" s="52"/>
      <c r="V28" s="52"/>
      <c r="W28" s="1"/>
      <c r="X28" s="1"/>
      <c r="Y28" s="66"/>
      <c r="Z28" s="42"/>
      <c r="AA28" s="42"/>
      <c r="AB28" s="42"/>
      <c r="AC28" s="42"/>
      <c r="AD28" s="53"/>
      <c r="AE28" s="53"/>
      <c r="AF28" s="53"/>
      <c r="AG28" s="53"/>
      <c r="AH28" s="53"/>
      <c r="AI28" s="53"/>
      <c r="AJ28" s="53"/>
      <c r="AK28" s="53"/>
      <c r="AL28" s="54"/>
      <c r="AM28" s="54"/>
      <c r="AN28" s="54"/>
      <c r="AO28" s="54"/>
    </row>
    <row r="29" spans="1:41" ht="21" customHeight="1">
      <c r="A29" s="1"/>
      <c r="B29" s="55">
        <v>12</v>
      </c>
      <c r="C29" s="48"/>
      <c r="D29" s="48">
        <v>531.4</v>
      </c>
      <c r="E29" s="48">
        <v>519.4</v>
      </c>
      <c r="F29" s="48"/>
      <c r="G29" s="49"/>
      <c r="H29" s="49"/>
      <c r="I29" s="49"/>
      <c r="J29" s="49"/>
      <c r="K29" s="58"/>
      <c r="L29" s="51"/>
      <c r="M29" s="51"/>
      <c r="N29" s="52"/>
      <c r="O29" s="52"/>
      <c r="P29" s="52"/>
      <c r="Q29" s="52"/>
      <c r="R29" s="52"/>
      <c r="S29" s="52"/>
      <c r="T29" s="52"/>
      <c r="U29" s="52"/>
      <c r="V29" s="52"/>
      <c r="W29" s="1"/>
      <c r="X29" s="1"/>
      <c r="Y29" s="66"/>
      <c r="Z29" s="42"/>
      <c r="AA29" s="1"/>
      <c r="AB29" s="42"/>
      <c r="AC29" s="1"/>
      <c r="AD29" s="54"/>
      <c r="AE29" s="54"/>
      <c r="AF29" s="54"/>
      <c r="AG29" s="54"/>
      <c r="AH29" s="54"/>
      <c r="AI29" s="53"/>
      <c r="AJ29" s="53"/>
      <c r="AK29" s="54"/>
      <c r="AL29" s="54"/>
      <c r="AM29" s="54"/>
      <c r="AN29" s="54"/>
      <c r="AO29" s="54"/>
    </row>
    <row r="30" spans="1:41" ht="21" customHeight="1">
      <c r="A30" s="1"/>
      <c r="B30" s="47">
        <v>13</v>
      </c>
      <c r="C30" s="48">
        <v>541.79999999999995</v>
      </c>
      <c r="D30" s="48"/>
      <c r="E30" s="48"/>
      <c r="F30" s="48">
        <v>524.4</v>
      </c>
      <c r="G30" s="49"/>
      <c r="H30" s="49"/>
      <c r="I30" s="49"/>
      <c r="J30" s="49"/>
      <c r="K30" s="56"/>
      <c r="L30" s="51"/>
      <c r="M30" s="51"/>
      <c r="N30" s="52"/>
      <c r="O30" s="52"/>
      <c r="P30" s="52"/>
      <c r="Q30" s="52"/>
      <c r="R30" s="52"/>
      <c r="S30" s="52"/>
      <c r="T30" s="52"/>
      <c r="U30" s="52"/>
      <c r="V30" s="52"/>
      <c r="W30" s="1"/>
      <c r="X30" s="1"/>
      <c r="Y30" s="66"/>
      <c r="Z30" s="1"/>
      <c r="AA30" s="1"/>
      <c r="AB30" s="42"/>
      <c r="AC30" s="1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</row>
    <row r="31" spans="1:41" ht="21" customHeight="1">
      <c r="A31" s="1"/>
      <c r="B31" s="55">
        <v>14</v>
      </c>
      <c r="C31" s="48"/>
      <c r="D31" s="48">
        <v>542</v>
      </c>
      <c r="E31" s="48">
        <v>529.79999999999995</v>
      </c>
      <c r="F31" s="48"/>
      <c r="G31" s="49"/>
      <c r="H31" s="49"/>
      <c r="I31" s="49"/>
      <c r="J31" s="49"/>
      <c r="K31" s="51"/>
      <c r="L31" s="51"/>
      <c r="M31" s="51"/>
      <c r="N31" s="52"/>
      <c r="O31" s="52"/>
      <c r="P31" s="52"/>
      <c r="Q31" s="52"/>
      <c r="R31" s="52"/>
      <c r="S31" s="52"/>
      <c r="T31" s="52"/>
      <c r="U31" s="52"/>
      <c r="V31" s="52"/>
      <c r="W31" s="1"/>
      <c r="X31" s="1"/>
      <c r="Y31" s="46"/>
      <c r="Z31" s="1"/>
      <c r="AA31" s="1"/>
      <c r="AB31" s="42"/>
      <c r="AC31" s="1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</row>
    <row r="32" spans="1:41" ht="21" customHeight="1">
      <c r="A32" s="1"/>
      <c r="B32" s="55">
        <v>15</v>
      </c>
      <c r="C32" s="48">
        <v>542</v>
      </c>
      <c r="D32" s="48"/>
      <c r="E32" s="48"/>
      <c r="F32" s="48">
        <v>541.20000000000005</v>
      </c>
      <c r="G32" s="49"/>
      <c r="H32" s="49"/>
      <c r="I32" s="49"/>
      <c r="J32" s="49"/>
      <c r="K32" s="56"/>
      <c r="L32" s="51"/>
      <c r="M32" s="51"/>
      <c r="N32" s="52"/>
      <c r="O32" s="52"/>
      <c r="P32" s="52"/>
      <c r="Q32" s="52"/>
      <c r="R32" s="52"/>
      <c r="S32" s="52"/>
      <c r="T32" s="52"/>
      <c r="U32" s="52"/>
      <c r="V32" s="52"/>
      <c r="W32" s="1"/>
      <c r="X32" s="1"/>
      <c r="Y32" s="46"/>
      <c r="Z32" s="1"/>
      <c r="AA32" s="1"/>
      <c r="AB32" s="42"/>
      <c r="AC32" s="1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</row>
    <row r="33" spans="1:41" ht="21" customHeight="1">
      <c r="A33" s="1"/>
      <c r="B33" s="55">
        <v>16</v>
      </c>
      <c r="C33" s="48"/>
      <c r="D33" s="48">
        <v>542</v>
      </c>
      <c r="E33" s="48">
        <v>537.79999999999995</v>
      </c>
      <c r="F33" s="48"/>
      <c r="G33" s="49"/>
      <c r="H33" s="49"/>
      <c r="I33" s="49"/>
      <c r="J33" s="56"/>
      <c r="K33" s="51"/>
      <c r="L33" s="51"/>
      <c r="M33" s="51"/>
      <c r="N33" s="52"/>
      <c r="O33" s="52"/>
      <c r="P33" s="52"/>
      <c r="Q33" s="52"/>
      <c r="R33" s="52"/>
      <c r="S33" s="52"/>
      <c r="T33" s="52"/>
      <c r="U33" s="52"/>
      <c r="V33" s="52"/>
      <c r="W33" s="1"/>
      <c r="X33" s="1"/>
      <c r="Y33" s="46"/>
      <c r="Z33" s="1"/>
      <c r="AA33" s="1"/>
      <c r="AB33" s="42"/>
      <c r="AC33" s="1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</row>
    <row r="34" spans="1:41" ht="21" customHeight="1">
      <c r="A34" s="1"/>
      <c r="B34" s="47">
        <v>17</v>
      </c>
      <c r="C34" s="48">
        <v>541.4</v>
      </c>
      <c r="D34" s="48"/>
      <c r="E34" s="48"/>
      <c r="F34" s="48">
        <v>525.6</v>
      </c>
      <c r="G34" s="49"/>
      <c r="H34" s="49"/>
      <c r="I34" s="49"/>
      <c r="J34" s="49"/>
      <c r="K34" s="56"/>
      <c r="L34" s="51"/>
      <c r="M34" s="51"/>
      <c r="N34" s="52"/>
      <c r="O34" s="52"/>
      <c r="P34" s="52"/>
      <c r="Q34" s="52"/>
      <c r="R34" s="52"/>
      <c r="S34" s="52"/>
      <c r="T34" s="52"/>
      <c r="U34" s="52"/>
      <c r="V34" s="52"/>
      <c r="W34" s="1"/>
      <c r="X34" s="1"/>
      <c r="Y34" s="46"/>
      <c r="Z34" s="1"/>
      <c r="AA34" s="1"/>
      <c r="AB34" s="42"/>
      <c r="AC34" s="1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</row>
    <row r="35" spans="1:41" ht="21" customHeight="1">
      <c r="A35" s="1"/>
      <c r="B35" s="55">
        <v>18</v>
      </c>
      <c r="C35" s="58"/>
      <c r="D35" s="48">
        <v>539.6</v>
      </c>
      <c r="E35" s="48">
        <v>511.6</v>
      </c>
      <c r="F35" s="48"/>
      <c r="G35" s="49"/>
      <c r="H35" s="49"/>
      <c r="I35" s="49"/>
      <c r="J35" s="49"/>
      <c r="K35" s="58"/>
      <c r="L35" s="51"/>
      <c r="M35" s="51"/>
      <c r="N35" s="52"/>
      <c r="O35" s="52"/>
      <c r="P35" s="52"/>
      <c r="Q35" s="52"/>
      <c r="R35" s="52"/>
      <c r="S35" s="52"/>
      <c r="T35" s="52"/>
      <c r="U35" s="52"/>
      <c r="V35" s="52"/>
      <c r="W35" s="1"/>
      <c r="X35" s="1"/>
      <c r="Y35" s="46"/>
      <c r="Z35" s="1"/>
      <c r="AA35" s="1"/>
      <c r="AB35" s="67"/>
      <c r="AC35" s="1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</row>
    <row r="36" spans="1:41" ht="21" customHeight="1">
      <c r="A36" s="1"/>
      <c r="B36" s="55">
        <v>19</v>
      </c>
      <c r="C36" s="51">
        <v>542</v>
      </c>
      <c r="D36" s="48"/>
      <c r="E36" s="48"/>
      <c r="F36" s="48">
        <v>540.4</v>
      </c>
      <c r="G36" s="49"/>
      <c r="H36" s="49"/>
      <c r="I36" s="49"/>
      <c r="J36" s="49"/>
      <c r="K36" s="56"/>
      <c r="L36" s="51"/>
      <c r="M36" s="51"/>
      <c r="N36" s="52"/>
      <c r="O36" s="52"/>
      <c r="P36" s="52"/>
      <c r="Q36" s="52"/>
      <c r="R36" s="52"/>
      <c r="S36" s="52"/>
      <c r="T36" s="52"/>
      <c r="U36" s="52"/>
      <c r="V36" s="52"/>
      <c r="W36" s="1"/>
      <c r="X36" s="1"/>
      <c r="Y36" s="46"/>
      <c r="Z36" s="1"/>
      <c r="AA36" s="1"/>
      <c r="AB36" s="1"/>
      <c r="AC36" s="1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</row>
    <row r="37" spans="1:41" ht="21" customHeight="1">
      <c r="A37" s="1"/>
      <c r="B37" s="55">
        <v>20</v>
      </c>
      <c r="C37" s="58"/>
      <c r="D37" s="49">
        <v>452</v>
      </c>
      <c r="E37" s="48">
        <v>529.79999999999995</v>
      </c>
      <c r="F37" s="49"/>
      <c r="G37" s="49"/>
      <c r="H37" s="49"/>
      <c r="I37" s="49"/>
      <c r="J37" s="49"/>
      <c r="K37" s="51"/>
      <c r="L37" s="51"/>
      <c r="M37" s="51"/>
      <c r="N37" s="52"/>
      <c r="O37" s="52"/>
      <c r="P37" s="52"/>
      <c r="Q37" s="52"/>
      <c r="R37" s="52"/>
      <c r="S37" s="52"/>
      <c r="T37" s="52"/>
      <c r="U37" s="52"/>
      <c r="V37" s="52"/>
      <c r="W37" s="22"/>
      <c r="X37" s="22"/>
      <c r="Y37" s="40"/>
      <c r="Z37" s="22"/>
      <c r="AA37" s="22"/>
      <c r="AB37" s="22"/>
      <c r="AC37" s="22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</row>
    <row r="38" spans="1:41" ht="21" customHeight="1">
      <c r="A38" s="1"/>
      <c r="B38" s="47">
        <v>21</v>
      </c>
      <c r="C38" s="48">
        <v>533.6</v>
      </c>
      <c r="D38" s="48"/>
      <c r="E38" s="49"/>
      <c r="F38" s="48">
        <v>537.20000000000005</v>
      </c>
      <c r="G38" s="49"/>
      <c r="H38" s="49"/>
      <c r="I38" s="49"/>
      <c r="J38" s="49"/>
      <c r="K38" s="51"/>
      <c r="L38" s="51"/>
      <c r="M38" s="56"/>
      <c r="N38" s="52"/>
      <c r="O38" s="52"/>
      <c r="P38" s="52"/>
      <c r="Q38" s="52"/>
      <c r="R38" s="52"/>
      <c r="S38" s="52"/>
      <c r="T38" s="52"/>
      <c r="U38" s="52"/>
      <c r="V38" s="52"/>
      <c r="W38" s="22"/>
      <c r="X38" s="22"/>
      <c r="Y38" s="40"/>
      <c r="Z38" s="22"/>
      <c r="AA38" s="22"/>
      <c r="AB38" s="22"/>
      <c r="AC38" s="22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</row>
    <row r="39" spans="1:41" ht="21" customHeight="1">
      <c r="A39" s="1"/>
      <c r="B39" s="55">
        <v>22</v>
      </c>
      <c r="C39" s="48"/>
      <c r="D39" s="48">
        <v>542.20000000000005</v>
      </c>
      <c r="E39" s="48">
        <v>521.79999999999995</v>
      </c>
      <c r="F39" s="48"/>
      <c r="G39" s="58"/>
      <c r="H39" s="49"/>
      <c r="I39" s="49"/>
      <c r="J39" s="49"/>
      <c r="K39" s="51"/>
      <c r="L39" s="51"/>
      <c r="M39" s="51"/>
      <c r="N39" s="52"/>
      <c r="O39" s="52"/>
      <c r="P39" s="52"/>
      <c r="Q39" s="52"/>
      <c r="R39" s="52"/>
      <c r="S39" s="52"/>
      <c r="T39" s="52"/>
      <c r="U39" s="52"/>
      <c r="V39" s="52"/>
      <c r="W39" s="22"/>
      <c r="X39" s="22"/>
      <c r="Y39" s="40"/>
      <c r="Z39" s="22"/>
      <c r="AA39" s="22"/>
      <c r="AB39" s="22"/>
      <c r="AC39" s="22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</row>
    <row r="40" spans="1:41" ht="21" customHeight="1">
      <c r="A40" s="1"/>
      <c r="B40" s="55">
        <v>23</v>
      </c>
      <c r="C40" s="48">
        <v>542.20000000000005</v>
      </c>
      <c r="D40" s="48"/>
      <c r="E40" s="48"/>
      <c r="F40" s="48">
        <v>538.4</v>
      </c>
      <c r="G40" s="48"/>
      <c r="H40" s="49"/>
      <c r="I40" s="49"/>
      <c r="J40" s="58"/>
      <c r="K40" s="56"/>
      <c r="L40" s="51"/>
      <c r="M40" s="51"/>
      <c r="N40" s="52"/>
      <c r="O40" s="52"/>
      <c r="P40" s="52"/>
      <c r="Q40" s="52"/>
      <c r="R40" s="52"/>
      <c r="S40" s="52"/>
      <c r="T40" s="52"/>
      <c r="U40" s="52"/>
      <c r="V40" s="52"/>
      <c r="W40" s="22"/>
      <c r="X40" s="22"/>
      <c r="Y40" s="40"/>
      <c r="Z40" s="22"/>
      <c r="AA40" s="22"/>
      <c r="AB40" s="22"/>
      <c r="AC40" s="22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</row>
    <row r="41" spans="1:41" ht="21" customHeight="1">
      <c r="A41" s="1"/>
      <c r="B41" s="55">
        <v>24</v>
      </c>
      <c r="C41" s="48"/>
      <c r="D41" s="48">
        <v>543</v>
      </c>
      <c r="E41" s="48">
        <v>542.20000000000005</v>
      </c>
      <c r="F41" s="48"/>
      <c r="G41" s="49"/>
      <c r="H41" s="58"/>
      <c r="I41" s="58"/>
      <c r="J41" s="48"/>
      <c r="K41" s="58"/>
      <c r="L41" s="51"/>
      <c r="M41" s="51"/>
      <c r="N41" s="52"/>
      <c r="O41" s="52"/>
      <c r="P41" s="52"/>
      <c r="Q41" s="52"/>
      <c r="R41" s="52"/>
      <c r="S41" s="52"/>
      <c r="T41" s="52"/>
      <c r="U41" s="52"/>
      <c r="V41" s="52"/>
      <c r="W41" s="22"/>
      <c r="X41" s="22"/>
      <c r="Y41" s="40"/>
      <c r="Z41" s="22"/>
      <c r="AA41" s="22"/>
      <c r="AB41" s="22"/>
      <c r="AC41" s="22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</row>
    <row r="42" spans="1:41" ht="21" customHeight="1">
      <c r="A42" s="1"/>
      <c r="B42" s="47">
        <v>25</v>
      </c>
      <c r="C42" s="48">
        <v>543</v>
      </c>
      <c r="D42" s="48"/>
      <c r="E42" s="48"/>
      <c r="F42" s="48">
        <v>534.20000000000005</v>
      </c>
      <c r="G42" s="48"/>
      <c r="H42" s="48"/>
      <c r="I42" s="48"/>
      <c r="J42" s="49"/>
      <c r="K42" s="58"/>
      <c r="L42" s="51"/>
      <c r="M42" s="51"/>
      <c r="N42" s="52"/>
      <c r="O42" s="52"/>
      <c r="P42" s="52"/>
      <c r="Q42" s="52"/>
      <c r="R42" s="52"/>
      <c r="S42" s="52"/>
      <c r="T42" s="52"/>
      <c r="U42" s="52"/>
      <c r="V42" s="52"/>
      <c r="W42" s="22"/>
      <c r="X42" s="22"/>
      <c r="Y42" s="40"/>
      <c r="Z42" s="22"/>
      <c r="AA42" s="22"/>
      <c r="AB42" s="22"/>
      <c r="AC42" s="22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</row>
    <row r="43" spans="1:41" ht="21" customHeight="1">
      <c r="A43" s="1"/>
      <c r="B43" s="55">
        <v>26</v>
      </c>
      <c r="C43" s="48"/>
      <c r="D43" s="48">
        <v>540.6</v>
      </c>
      <c r="E43" s="48">
        <v>503.6</v>
      </c>
      <c r="F43" s="49"/>
      <c r="G43" s="49"/>
      <c r="H43" s="49"/>
      <c r="I43" s="49"/>
      <c r="J43" s="49"/>
      <c r="K43" s="58"/>
      <c r="L43" s="51"/>
      <c r="M43" s="51"/>
      <c r="N43" s="52"/>
      <c r="O43" s="52"/>
      <c r="P43" s="52"/>
      <c r="Q43" s="52"/>
      <c r="R43" s="52"/>
      <c r="S43" s="52"/>
      <c r="T43" s="52"/>
      <c r="U43" s="52"/>
      <c r="V43" s="52"/>
      <c r="W43" s="22"/>
      <c r="X43" s="22"/>
      <c r="Y43" s="40"/>
      <c r="Z43" s="22"/>
      <c r="AA43" s="22"/>
      <c r="AB43" s="22"/>
      <c r="AC43" s="22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</row>
    <row r="44" spans="1:41" ht="21" customHeight="1">
      <c r="A44" s="1"/>
      <c r="B44" s="55">
        <v>27</v>
      </c>
      <c r="C44" s="48">
        <v>528</v>
      </c>
      <c r="D44" s="48"/>
      <c r="E44" s="49"/>
      <c r="F44" s="49">
        <v>529.79999999999995</v>
      </c>
      <c r="G44" s="49"/>
      <c r="H44" s="49"/>
      <c r="I44" s="49"/>
      <c r="J44" s="56"/>
      <c r="K44" s="58"/>
      <c r="L44" s="51"/>
      <c r="M44" s="51"/>
      <c r="N44" s="52"/>
      <c r="O44" s="52"/>
      <c r="P44" s="52"/>
      <c r="Q44" s="52"/>
      <c r="R44" s="52"/>
      <c r="S44" s="52"/>
      <c r="T44" s="52"/>
      <c r="U44" s="52"/>
      <c r="V44" s="52"/>
      <c r="W44" s="22"/>
      <c r="X44" s="22"/>
      <c r="Y44" s="40"/>
      <c r="Z44" s="22"/>
      <c r="AA44" s="22"/>
      <c r="AB44" s="22"/>
      <c r="AC44" s="22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</row>
    <row r="45" spans="1:41" ht="21" customHeight="1">
      <c r="A45" s="1"/>
      <c r="B45" s="55">
        <v>28</v>
      </c>
      <c r="C45" s="49"/>
      <c r="D45" s="48">
        <v>542</v>
      </c>
      <c r="E45" s="49">
        <v>542.6</v>
      </c>
      <c r="F45" s="49"/>
      <c r="G45" s="68"/>
      <c r="H45" s="69"/>
      <c r="I45" s="49"/>
      <c r="J45" s="49"/>
      <c r="K45" s="58"/>
      <c r="L45" s="51"/>
      <c r="M45" s="51"/>
      <c r="N45" s="52"/>
      <c r="O45" s="52"/>
      <c r="P45" s="52"/>
      <c r="Q45" s="52"/>
      <c r="R45" s="52"/>
      <c r="S45" s="52"/>
      <c r="T45" s="52"/>
      <c r="U45" s="52"/>
      <c r="V45" s="52"/>
      <c r="W45" s="22"/>
      <c r="X45" s="22"/>
      <c r="Y45" s="40"/>
      <c r="Z45" s="22"/>
      <c r="AA45" s="22"/>
      <c r="AB45" s="22"/>
      <c r="AC45" s="22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</row>
    <row r="46" spans="1:41" ht="21" customHeight="1">
      <c r="A46" s="1"/>
      <c r="B46" s="47">
        <v>29</v>
      </c>
      <c r="C46" s="48">
        <v>532</v>
      </c>
      <c r="D46" s="48"/>
      <c r="E46" s="49"/>
      <c r="F46" s="49">
        <v>506.6</v>
      </c>
      <c r="G46" s="56"/>
      <c r="I46" s="49"/>
      <c r="J46" s="49"/>
      <c r="K46" s="56"/>
      <c r="L46" s="51"/>
      <c r="M46" s="51"/>
      <c r="N46" s="52"/>
      <c r="O46" s="52"/>
      <c r="P46" s="52"/>
      <c r="Q46" s="52"/>
      <c r="R46" s="52"/>
      <c r="S46" s="52"/>
      <c r="T46" s="52"/>
      <c r="U46" s="52"/>
      <c r="V46" s="52"/>
      <c r="W46" s="22"/>
      <c r="X46" s="22"/>
      <c r="Y46" s="40"/>
      <c r="Z46" s="22"/>
      <c r="AA46" s="22"/>
      <c r="AB46" s="22"/>
      <c r="AC46" s="22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</row>
    <row r="47" spans="1:41" ht="21" customHeight="1">
      <c r="A47" s="1"/>
      <c r="B47" s="55">
        <v>30</v>
      </c>
      <c r="C47" s="48"/>
      <c r="D47" s="48">
        <v>542.79999999999995</v>
      </c>
      <c r="E47" s="49">
        <v>531.79999999999995</v>
      </c>
      <c r="F47" s="49"/>
      <c r="G47" s="49"/>
      <c r="H47" s="49"/>
      <c r="I47" s="56"/>
      <c r="J47" s="56"/>
      <c r="K47" s="56"/>
      <c r="L47" s="51"/>
      <c r="M47" s="51"/>
      <c r="N47" s="52"/>
      <c r="O47" s="52"/>
      <c r="P47" s="52"/>
      <c r="Q47" s="52"/>
      <c r="R47" s="52"/>
      <c r="S47" s="52"/>
      <c r="T47" s="52"/>
      <c r="U47" s="52"/>
      <c r="V47" s="52"/>
      <c r="W47" s="22"/>
      <c r="X47" s="22"/>
      <c r="Y47" s="70"/>
      <c r="Z47" s="71"/>
      <c r="AA47" s="22"/>
      <c r="AB47" s="22"/>
      <c r="AC47" s="22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</row>
    <row r="48" spans="1:41" ht="21" customHeight="1">
      <c r="A48" s="1"/>
      <c r="B48" s="55">
        <v>31</v>
      </c>
      <c r="C48" s="56">
        <v>540.6</v>
      </c>
      <c r="D48" s="48"/>
      <c r="E48" s="49"/>
      <c r="F48" s="49">
        <v>534.6</v>
      </c>
      <c r="G48" s="49"/>
      <c r="H48" s="49"/>
      <c r="I48" s="49"/>
      <c r="J48" s="49"/>
      <c r="K48" s="56"/>
      <c r="L48" s="51"/>
      <c r="M48" s="51"/>
      <c r="N48" s="52"/>
      <c r="O48" s="52"/>
      <c r="P48" s="52"/>
      <c r="Q48" s="52"/>
      <c r="R48" s="52"/>
      <c r="S48" s="52"/>
      <c r="T48" s="52"/>
      <c r="U48" s="52"/>
      <c r="V48" s="52"/>
      <c r="W48" s="22"/>
      <c r="X48" s="22"/>
      <c r="Y48" s="70"/>
      <c r="Z48" s="71"/>
      <c r="AA48" s="22"/>
      <c r="AB48" s="22"/>
      <c r="AC48" s="22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</row>
    <row r="49" spans="1:41" ht="21" customHeight="1">
      <c r="A49" s="1"/>
      <c r="B49" s="55">
        <v>32</v>
      </c>
      <c r="C49" s="48"/>
      <c r="D49" s="72">
        <v>279</v>
      </c>
      <c r="E49" s="49">
        <v>519.20000000000005</v>
      </c>
      <c r="F49" s="49"/>
      <c r="G49" s="49"/>
      <c r="H49" s="49"/>
      <c r="I49" s="49"/>
      <c r="J49" s="49"/>
      <c r="K49" s="51"/>
      <c r="L49" s="51"/>
      <c r="M49" s="51"/>
      <c r="N49" s="52"/>
      <c r="O49" s="52"/>
      <c r="P49" s="52"/>
      <c r="Q49" s="52"/>
      <c r="R49" s="52"/>
      <c r="S49" s="52"/>
      <c r="T49" s="52"/>
      <c r="U49" s="52"/>
      <c r="V49" s="52"/>
      <c r="W49" s="22"/>
      <c r="X49" s="22"/>
      <c r="Y49" s="70"/>
      <c r="Z49" s="71"/>
      <c r="AA49" s="22"/>
      <c r="AB49" s="22"/>
      <c r="AC49" s="22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</row>
    <row r="50" spans="1:41" ht="21" customHeight="1">
      <c r="A50" s="1"/>
      <c r="B50" s="47">
        <v>33</v>
      </c>
      <c r="C50" s="51"/>
      <c r="D50" s="51"/>
      <c r="E50" s="49"/>
      <c r="F50" s="49">
        <v>542.20000000000005</v>
      </c>
      <c r="G50" s="49"/>
      <c r="I50" s="49"/>
      <c r="J50" s="49"/>
      <c r="K50" s="51"/>
      <c r="L50" s="51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22"/>
      <c r="X50" s="22"/>
      <c r="Y50" s="70"/>
      <c r="Z50" s="71"/>
      <c r="AA50" s="22"/>
      <c r="AB50" s="22"/>
      <c r="AC50" s="22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</row>
    <row r="51" spans="1:41" ht="21" customHeight="1">
      <c r="A51" s="1"/>
      <c r="B51" s="55">
        <v>34</v>
      </c>
      <c r="C51" s="51"/>
      <c r="D51" s="51"/>
      <c r="E51" s="68">
        <v>542.6</v>
      </c>
      <c r="F51" s="68"/>
      <c r="G51" s="49"/>
      <c r="H51" s="49"/>
      <c r="I51" s="49"/>
      <c r="J51" s="49"/>
      <c r="K51" s="51"/>
      <c r="L51" s="51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22"/>
      <c r="X51" s="22"/>
      <c r="Y51" s="73"/>
      <c r="Z51" s="71"/>
      <c r="AA51" s="22"/>
      <c r="AB51" s="22"/>
      <c r="AC51" s="22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</row>
    <row r="52" spans="1:41" ht="21" customHeight="1">
      <c r="A52" s="1"/>
      <c r="B52" s="55">
        <v>35</v>
      </c>
      <c r="C52" s="51"/>
      <c r="D52" s="51"/>
      <c r="E52" s="68"/>
      <c r="F52" s="68">
        <v>527.20000000000005</v>
      </c>
      <c r="G52" s="49"/>
      <c r="H52" s="49"/>
      <c r="I52" s="49"/>
      <c r="J52" s="49"/>
      <c r="K52" s="51"/>
      <c r="L52" s="51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22"/>
      <c r="X52" s="22"/>
      <c r="Y52" s="73"/>
      <c r="Z52" s="71"/>
      <c r="AA52" s="22"/>
      <c r="AB52" s="22"/>
      <c r="AC52" s="22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</row>
    <row r="53" spans="1:41" ht="21" customHeight="1">
      <c r="A53" s="1"/>
      <c r="B53" s="55">
        <v>36</v>
      </c>
      <c r="C53" s="51"/>
      <c r="D53" s="51"/>
      <c r="E53" s="68">
        <v>427.4</v>
      </c>
      <c r="F53" s="68"/>
      <c r="G53" s="68"/>
      <c r="H53" s="68"/>
      <c r="I53" s="68"/>
      <c r="J53" s="68"/>
      <c r="K53" s="51"/>
      <c r="L53" s="51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22"/>
      <c r="X53" s="22"/>
      <c r="Y53" s="70"/>
      <c r="Z53" s="71"/>
      <c r="AA53" s="22"/>
      <c r="AB53" s="22"/>
      <c r="AC53" s="22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</row>
    <row r="54" spans="1:41" ht="21" customHeight="1">
      <c r="A54" s="1"/>
      <c r="B54" s="47">
        <v>37</v>
      </c>
      <c r="C54" s="51"/>
      <c r="D54" s="51"/>
      <c r="E54" s="68"/>
      <c r="F54" s="68">
        <v>537.4</v>
      </c>
      <c r="G54" s="68"/>
      <c r="H54" s="68"/>
      <c r="I54" s="68"/>
      <c r="J54" s="68"/>
      <c r="K54" s="51"/>
      <c r="L54" s="51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22"/>
      <c r="X54" s="22"/>
      <c r="Y54" s="70"/>
      <c r="Z54" s="71"/>
      <c r="AA54" s="22"/>
      <c r="AB54" s="22"/>
      <c r="AC54" s="22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</row>
    <row r="55" spans="1:41" ht="21" customHeight="1">
      <c r="A55" s="1"/>
      <c r="B55" s="55">
        <v>38</v>
      </c>
      <c r="C55" s="51"/>
      <c r="D55" s="74"/>
      <c r="E55" s="68">
        <v>540.4</v>
      </c>
      <c r="F55" s="68"/>
      <c r="G55" s="68"/>
      <c r="H55" s="68"/>
      <c r="I55" s="68"/>
      <c r="J55" s="68"/>
      <c r="K55" s="51"/>
      <c r="L55" s="51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22"/>
      <c r="X55" s="22"/>
      <c r="Y55" s="70"/>
      <c r="Z55" s="71"/>
      <c r="AA55" s="22"/>
      <c r="AB55" s="22"/>
      <c r="AC55" s="22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</row>
    <row r="56" spans="1:41" ht="21" customHeight="1">
      <c r="A56" s="1"/>
      <c r="B56" s="55">
        <v>39</v>
      </c>
      <c r="C56" s="51"/>
      <c r="D56" s="51"/>
      <c r="E56" s="68"/>
      <c r="F56" s="68">
        <v>532.4</v>
      </c>
      <c r="G56" s="68"/>
      <c r="H56" s="68"/>
      <c r="I56" s="68"/>
      <c r="J56" s="68"/>
      <c r="K56" s="51"/>
      <c r="L56" s="51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22"/>
      <c r="X56" s="22"/>
      <c r="Y56" s="70"/>
      <c r="Z56" s="71"/>
      <c r="AA56" s="22"/>
      <c r="AB56" s="22"/>
      <c r="AC56" s="22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</row>
    <row r="57" spans="1:41" ht="21" customHeight="1">
      <c r="A57" s="1"/>
      <c r="B57" s="55">
        <v>40</v>
      </c>
      <c r="C57" s="51"/>
      <c r="D57" s="51"/>
      <c r="E57" s="68">
        <v>503</v>
      </c>
      <c r="F57" s="68"/>
      <c r="G57" s="68"/>
      <c r="H57" s="68"/>
      <c r="I57" s="68"/>
      <c r="J57" s="68"/>
      <c r="K57" s="51"/>
      <c r="L57" s="51"/>
      <c r="M57" s="52"/>
      <c r="N57" s="75"/>
      <c r="O57" s="52"/>
      <c r="P57" s="52"/>
      <c r="Q57" s="52"/>
      <c r="R57" s="52"/>
      <c r="S57" s="52"/>
      <c r="T57" s="52"/>
      <c r="U57" s="52"/>
      <c r="V57" s="52"/>
      <c r="W57" s="22"/>
      <c r="X57" s="22"/>
      <c r="Y57" s="70"/>
      <c r="Z57" s="71"/>
      <c r="AA57" s="22"/>
      <c r="AB57" s="22"/>
      <c r="AC57" s="22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</row>
    <row r="58" spans="1:41" ht="21" customHeight="1">
      <c r="A58" s="1"/>
      <c r="B58" s="55">
        <v>41</v>
      </c>
      <c r="C58" s="51"/>
      <c r="D58" s="74"/>
      <c r="E58" s="68"/>
      <c r="F58" s="68">
        <v>516.20000000000005</v>
      </c>
      <c r="G58" s="68"/>
      <c r="H58" s="68"/>
      <c r="I58" s="68"/>
      <c r="J58" s="68"/>
      <c r="K58" s="51"/>
      <c r="L58" s="51"/>
      <c r="M58" s="52"/>
      <c r="N58" s="75"/>
      <c r="O58" s="52"/>
      <c r="P58" s="52"/>
      <c r="Q58" s="52"/>
      <c r="R58" s="52"/>
      <c r="S58" s="52"/>
      <c r="T58" s="52"/>
      <c r="U58" s="52"/>
      <c r="V58" s="52"/>
      <c r="W58" s="22"/>
      <c r="X58" s="22"/>
      <c r="Y58" s="70"/>
      <c r="Z58" s="71"/>
      <c r="AA58" s="22"/>
      <c r="AB58" s="22"/>
      <c r="AC58" s="22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</row>
    <row r="59" spans="1:41" ht="21" customHeight="1">
      <c r="A59" s="1"/>
      <c r="B59" s="76">
        <v>42</v>
      </c>
      <c r="C59" s="51"/>
      <c r="D59" s="51"/>
      <c r="E59" s="68">
        <v>529.4</v>
      </c>
      <c r="F59" s="68"/>
      <c r="G59" s="68"/>
      <c r="H59" s="68"/>
      <c r="I59" s="68"/>
      <c r="J59" s="68"/>
      <c r="K59" s="51"/>
      <c r="L59" s="68"/>
      <c r="M59" s="75"/>
      <c r="N59" s="56"/>
      <c r="O59" s="52"/>
      <c r="P59" s="52"/>
      <c r="Q59" s="52"/>
      <c r="R59" s="52"/>
      <c r="S59" s="52"/>
      <c r="T59" s="52"/>
      <c r="U59" s="52"/>
      <c r="V59" s="52"/>
      <c r="W59" s="22"/>
      <c r="X59" s="22"/>
      <c r="Y59" s="40"/>
      <c r="Z59" s="22"/>
      <c r="AA59" s="22"/>
      <c r="AB59" s="22"/>
      <c r="AC59" s="22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</row>
    <row r="60" spans="1:41" ht="21" customHeight="1">
      <c r="A60" s="1"/>
      <c r="B60" s="76">
        <v>43</v>
      </c>
      <c r="D60" s="51"/>
      <c r="E60" s="68"/>
      <c r="F60" s="68">
        <v>527.4</v>
      </c>
      <c r="G60" s="68"/>
      <c r="H60" s="68"/>
      <c r="I60" s="56"/>
      <c r="J60" s="56"/>
      <c r="K60" s="51"/>
      <c r="L60" s="68"/>
      <c r="M60" s="75"/>
      <c r="N60" s="56"/>
      <c r="O60" s="52"/>
      <c r="P60" s="52"/>
      <c r="Q60" s="52"/>
      <c r="R60" s="52"/>
      <c r="S60" s="52"/>
      <c r="T60" s="52"/>
      <c r="U60" s="52"/>
      <c r="V60" s="52"/>
      <c r="W60" s="22"/>
      <c r="X60" s="22"/>
      <c r="Y60" s="40"/>
      <c r="Z60" s="22"/>
      <c r="AA60" s="22"/>
      <c r="AB60" s="22"/>
      <c r="AC60" s="22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</row>
    <row r="61" spans="1:41" ht="21" customHeight="1">
      <c r="A61" s="1"/>
      <c r="B61" s="76">
        <v>44</v>
      </c>
      <c r="C61" s="56"/>
      <c r="D61" s="51"/>
      <c r="E61" s="68">
        <v>364</v>
      </c>
      <c r="F61" s="68"/>
      <c r="G61" s="68"/>
      <c r="H61" s="68"/>
      <c r="I61" s="68"/>
      <c r="J61" s="68"/>
      <c r="K61" s="51"/>
      <c r="L61" s="68"/>
      <c r="M61" s="75"/>
      <c r="N61" s="75"/>
      <c r="O61" s="52"/>
      <c r="P61" s="52"/>
      <c r="Q61" s="52"/>
      <c r="R61" s="52"/>
      <c r="S61" s="52"/>
      <c r="T61" s="52"/>
      <c r="U61" s="52"/>
      <c r="V61" s="52"/>
      <c r="W61" s="22"/>
      <c r="X61" s="22"/>
      <c r="Y61" s="40"/>
      <c r="Z61" s="22"/>
      <c r="AA61" s="22"/>
      <c r="AB61" s="22"/>
      <c r="AC61" s="22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</row>
    <row r="62" spans="1:41" ht="21" customHeight="1">
      <c r="A62" s="1"/>
      <c r="B62" s="76">
        <v>45</v>
      </c>
      <c r="C62" s="51"/>
      <c r="D62" s="51"/>
      <c r="E62" s="68"/>
      <c r="F62" s="68"/>
      <c r="G62" s="68"/>
      <c r="H62" s="68"/>
      <c r="I62" s="68"/>
      <c r="J62" s="68"/>
      <c r="K62" s="51"/>
      <c r="L62" s="68"/>
      <c r="M62" s="75"/>
      <c r="N62" s="75"/>
      <c r="O62" s="52"/>
      <c r="P62" s="52"/>
      <c r="Q62" s="52"/>
      <c r="R62" s="52"/>
      <c r="S62" s="52"/>
      <c r="T62" s="52"/>
      <c r="U62" s="52"/>
      <c r="V62" s="52"/>
      <c r="W62" s="22"/>
      <c r="X62" s="22"/>
      <c r="Y62" s="40"/>
      <c r="Z62" s="22"/>
      <c r="AA62" s="22"/>
      <c r="AB62" s="22"/>
      <c r="AC62" s="22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</row>
    <row r="63" spans="1:41" ht="21" customHeight="1">
      <c r="A63" s="1"/>
      <c r="B63" s="76">
        <v>46</v>
      </c>
      <c r="C63" s="51"/>
      <c r="D63" s="51"/>
      <c r="E63" s="68"/>
      <c r="F63" s="68"/>
      <c r="G63" s="68"/>
      <c r="H63" s="68"/>
      <c r="I63" s="68"/>
      <c r="J63" s="68"/>
      <c r="K63" s="51"/>
      <c r="L63" s="68"/>
      <c r="M63" s="75"/>
      <c r="N63" s="75"/>
      <c r="O63" s="52"/>
      <c r="P63" s="52"/>
      <c r="Q63" s="52"/>
      <c r="R63" s="52"/>
      <c r="S63" s="52"/>
      <c r="T63" s="52"/>
      <c r="U63" s="52"/>
      <c r="V63" s="52"/>
      <c r="W63" s="22"/>
      <c r="X63" s="22"/>
      <c r="Y63" s="40"/>
      <c r="Z63" s="22"/>
      <c r="AA63" s="22"/>
      <c r="AB63" s="22"/>
      <c r="AC63" s="22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</row>
    <row r="64" spans="1:41" ht="21" customHeight="1">
      <c r="A64" s="1"/>
      <c r="B64" s="76">
        <v>47</v>
      </c>
      <c r="C64" s="51"/>
      <c r="D64" s="51"/>
      <c r="E64" s="68"/>
      <c r="F64" s="56"/>
      <c r="G64" s="68"/>
      <c r="H64" s="68"/>
      <c r="I64" s="68"/>
      <c r="J64" s="68"/>
      <c r="K64" s="51"/>
      <c r="L64" s="68"/>
      <c r="M64" s="75"/>
      <c r="N64" s="75"/>
      <c r="O64" s="52"/>
      <c r="P64" s="52"/>
      <c r="Q64" s="52"/>
      <c r="R64" s="52"/>
      <c r="S64" s="52"/>
      <c r="T64" s="52"/>
      <c r="U64" s="52"/>
      <c r="V64" s="52"/>
      <c r="W64" s="22"/>
      <c r="X64" s="22"/>
      <c r="Y64" s="40"/>
      <c r="Z64" s="22"/>
      <c r="AA64" s="22"/>
      <c r="AB64" s="22"/>
      <c r="AC64" s="22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</row>
    <row r="65" spans="1:41" ht="21" customHeight="1">
      <c r="A65" s="1"/>
      <c r="B65" s="76">
        <v>48</v>
      </c>
      <c r="C65" s="51"/>
      <c r="D65" s="51"/>
      <c r="E65" s="68"/>
      <c r="G65" s="68"/>
      <c r="H65" s="68"/>
      <c r="I65" s="68"/>
      <c r="J65" s="68"/>
      <c r="K65" s="51"/>
      <c r="L65" s="68"/>
      <c r="M65" s="75"/>
      <c r="N65" s="75"/>
      <c r="O65" s="52"/>
      <c r="P65" s="52"/>
      <c r="Q65" s="52"/>
      <c r="R65" s="52"/>
      <c r="S65" s="52"/>
      <c r="T65" s="52"/>
      <c r="U65" s="52"/>
      <c r="V65" s="52"/>
      <c r="W65" s="22"/>
      <c r="X65" s="22"/>
      <c r="Y65" s="40"/>
      <c r="Z65" s="22"/>
      <c r="AA65" s="22"/>
      <c r="AB65" s="22"/>
      <c r="AC65" s="22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</row>
    <row r="66" spans="1:41" ht="21" customHeight="1">
      <c r="A66" s="1"/>
      <c r="B66" s="76">
        <v>49</v>
      </c>
      <c r="C66" s="51"/>
      <c r="D66" s="51"/>
      <c r="E66" s="68"/>
      <c r="F66" s="56"/>
      <c r="G66" s="68"/>
      <c r="H66" s="68"/>
      <c r="I66" s="68"/>
      <c r="J66" s="68"/>
      <c r="K66" s="51"/>
      <c r="L66" s="68"/>
      <c r="M66" s="75"/>
      <c r="N66" s="75"/>
      <c r="O66" s="52"/>
      <c r="P66" s="52"/>
      <c r="Q66" s="52"/>
      <c r="R66" s="52"/>
      <c r="S66" s="52"/>
      <c r="T66" s="52"/>
      <c r="U66" s="52"/>
      <c r="V66" s="52"/>
      <c r="W66" s="22"/>
      <c r="X66" s="22"/>
      <c r="Y66" s="40"/>
      <c r="Z66" s="22"/>
      <c r="AA66" s="22"/>
      <c r="AB66" s="22"/>
      <c r="AC66" s="22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</row>
    <row r="67" spans="1:41" ht="21" customHeight="1">
      <c r="A67" s="1"/>
      <c r="B67" s="76">
        <v>50</v>
      </c>
      <c r="C67" s="51"/>
      <c r="D67" s="51"/>
      <c r="E67" s="68"/>
      <c r="G67" s="68"/>
      <c r="H67" s="68"/>
      <c r="I67" s="68"/>
      <c r="J67" s="68"/>
      <c r="K67" s="51"/>
      <c r="L67" s="68"/>
      <c r="M67" s="75"/>
      <c r="N67" s="75"/>
      <c r="O67" s="52"/>
      <c r="P67" s="52"/>
      <c r="Q67" s="52"/>
      <c r="R67" s="52"/>
      <c r="S67" s="52"/>
      <c r="T67" s="52"/>
      <c r="U67" s="52"/>
      <c r="V67" s="52"/>
      <c r="W67" s="22"/>
      <c r="X67" s="22"/>
      <c r="Y67" s="40"/>
      <c r="Z67" s="22"/>
      <c r="AA67" s="22"/>
      <c r="AB67" s="22"/>
      <c r="AC67" s="22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</row>
    <row r="68" spans="1:41" ht="21" customHeight="1">
      <c r="A68" s="1"/>
      <c r="B68" s="76">
        <v>51</v>
      </c>
      <c r="C68" s="51"/>
      <c r="D68" s="51"/>
      <c r="E68" s="187"/>
      <c r="F68" s="190"/>
      <c r="G68" s="189"/>
      <c r="H68" s="68"/>
      <c r="I68" s="68"/>
      <c r="J68" s="68"/>
      <c r="K68" s="51"/>
      <c r="L68" s="68"/>
      <c r="M68" s="75"/>
      <c r="N68" s="75"/>
      <c r="O68" s="52"/>
      <c r="P68" s="52"/>
      <c r="Q68" s="52"/>
      <c r="R68" s="52"/>
      <c r="S68" s="52"/>
      <c r="T68" s="52"/>
      <c r="U68" s="52"/>
      <c r="V68" s="52"/>
      <c r="W68" s="22"/>
      <c r="X68" s="22"/>
      <c r="Y68" s="40"/>
      <c r="Z68" s="22"/>
      <c r="AA68" s="22"/>
      <c r="AB68" s="22"/>
      <c r="AC68" s="22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</row>
    <row r="69" spans="1:41" ht="21" customHeight="1">
      <c r="A69" s="1"/>
      <c r="B69" s="76">
        <v>52</v>
      </c>
      <c r="C69" s="51"/>
      <c r="D69" s="51"/>
      <c r="E69" s="188"/>
      <c r="F69" s="191"/>
      <c r="G69" s="189"/>
      <c r="H69" s="68"/>
      <c r="I69" s="68"/>
      <c r="J69" s="68"/>
      <c r="K69" s="51"/>
      <c r="L69" s="68"/>
      <c r="M69" s="75"/>
      <c r="N69" s="75"/>
      <c r="O69" s="52"/>
      <c r="P69" s="52"/>
      <c r="Q69" s="52"/>
      <c r="R69" s="52"/>
      <c r="S69" s="52"/>
      <c r="T69" s="52"/>
      <c r="U69" s="52"/>
      <c r="V69" s="52"/>
      <c r="W69" s="22"/>
      <c r="X69" s="22"/>
      <c r="Y69" s="40"/>
      <c r="Z69" s="22"/>
      <c r="AA69" s="22"/>
      <c r="AB69" s="22"/>
      <c r="AC69" s="22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</row>
    <row r="70" spans="1:41" ht="21" customHeight="1">
      <c r="A70" s="1"/>
      <c r="B70" s="76">
        <v>53</v>
      </c>
      <c r="C70" s="51"/>
      <c r="D70" s="51"/>
      <c r="E70" s="188"/>
      <c r="F70" s="191"/>
      <c r="G70" s="189"/>
      <c r="H70" s="68"/>
      <c r="I70" s="68"/>
      <c r="J70" s="68"/>
      <c r="K70" s="51"/>
      <c r="L70" s="68"/>
      <c r="M70" s="75"/>
      <c r="N70" s="75"/>
      <c r="O70" s="52"/>
      <c r="P70" s="52"/>
      <c r="Q70" s="52"/>
      <c r="R70" s="52"/>
      <c r="S70" s="52"/>
      <c r="T70" s="52"/>
      <c r="U70" s="52"/>
      <c r="V70" s="52"/>
      <c r="W70" s="22"/>
      <c r="X70" s="22"/>
      <c r="Y70" s="40"/>
      <c r="Z70" s="22"/>
      <c r="AA70" s="22"/>
      <c r="AB70" s="22"/>
      <c r="AC70" s="22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</row>
    <row r="71" spans="1:41" ht="21" customHeight="1">
      <c r="A71" s="1"/>
      <c r="B71" s="76">
        <v>54</v>
      </c>
      <c r="C71" s="51"/>
      <c r="D71" s="51"/>
      <c r="E71" s="188"/>
      <c r="F71" s="191"/>
      <c r="G71" s="189"/>
      <c r="H71" s="68"/>
      <c r="I71" s="68"/>
      <c r="J71" s="68"/>
      <c r="K71" s="51"/>
      <c r="L71" s="68"/>
      <c r="M71" s="75"/>
      <c r="N71" s="75"/>
      <c r="O71" s="52"/>
      <c r="P71" s="52"/>
      <c r="Q71" s="52"/>
      <c r="R71" s="52"/>
      <c r="S71" s="52"/>
      <c r="T71" s="52"/>
      <c r="U71" s="52"/>
      <c r="V71" s="52"/>
      <c r="W71" s="22"/>
      <c r="X71" s="22"/>
      <c r="Y71" s="40"/>
      <c r="Z71" s="22"/>
      <c r="AA71" s="22"/>
      <c r="AB71" s="22"/>
      <c r="AC71" s="22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</row>
    <row r="72" spans="1:41" ht="21" customHeight="1">
      <c r="A72" s="1"/>
      <c r="B72" s="76">
        <v>55</v>
      </c>
      <c r="C72" s="51"/>
      <c r="D72" s="51"/>
      <c r="E72" s="188"/>
      <c r="F72" s="191"/>
      <c r="G72" s="189"/>
      <c r="H72" s="68"/>
      <c r="I72" s="68"/>
      <c r="J72" s="68"/>
      <c r="K72" s="51"/>
      <c r="L72" s="68"/>
      <c r="M72" s="75"/>
      <c r="N72" s="75"/>
      <c r="O72" s="52"/>
      <c r="P72" s="52"/>
      <c r="Q72" s="52"/>
      <c r="R72" s="52"/>
      <c r="S72" s="52"/>
      <c r="T72" s="52"/>
      <c r="U72" s="52"/>
      <c r="V72" s="52"/>
      <c r="W72" s="22"/>
      <c r="X72" s="22"/>
      <c r="Y72" s="40"/>
      <c r="Z72" s="22"/>
      <c r="AA72" s="22"/>
      <c r="AB72" s="22"/>
      <c r="AC72" s="22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</row>
    <row r="73" spans="1:41" ht="21" customHeight="1">
      <c r="A73" s="1"/>
      <c r="B73" s="76">
        <v>56</v>
      </c>
      <c r="C73" s="51"/>
      <c r="D73" s="51"/>
      <c r="E73" s="188"/>
      <c r="F73" s="191"/>
      <c r="G73" s="189"/>
      <c r="H73" s="68"/>
      <c r="I73" s="68"/>
      <c r="J73" s="68"/>
      <c r="K73" s="51"/>
      <c r="L73" s="68"/>
      <c r="M73" s="75"/>
      <c r="N73" s="75"/>
      <c r="O73" s="52"/>
      <c r="P73" s="52"/>
      <c r="Q73" s="52"/>
      <c r="R73" s="52"/>
      <c r="S73" s="52"/>
      <c r="T73" s="52"/>
      <c r="U73" s="52"/>
      <c r="V73" s="52"/>
      <c r="W73" s="22"/>
      <c r="X73" s="22"/>
      <c r="Y73" s="40"/>
      <c r="Z73" s="22"/>
      <c r="AA73" s="22"/>
      <c r="AB73" s="22"/>
      <c r="AC73" s="22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</row>
    <row r="74" spans="1:41" ht="21" customHeight="1">
      <c r="A74" s="1"/>
      <c r="B74" s="76">
        <v>57</v>
      </c>
      <c r="C74" s="51"/>
      <c r="D74" s="51"/>
      <c r="E74" s="68"/>
      <c r="F74" s="186"/>
      <c r="G74" s="68"/>
      <c r="H74" s="68"/>
      <c r="I74" s="68"/>
      <c r="J74" s="68"/>
      <c r="K74" s="51"/>
      <c r="L74" s="68"/>
      <c r="M74" s="75"/>
      <c r="N74" s="75"/>
      <c r="O74" s="52"/>
      <c r="P74" s="52"/>
      <c r="Q74" s="52"/>
      <c r="R74" s="52"/>
      <c r="S74" s="52"/>
      <c r="T74" s="52"/>
      <c r="U74" s="52"/>
      <c r="V74" s="52"/>
      <c r="W74" s="22"/>
      <c r="X74" s="22"/>
      <c r="Y74" s="40"/>
      <c r="Z74" s="22"/>
      <c r="AA74" s="22"/>
      <c r="AB74" s="22"/>
      <c r="AC74" s="22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</row>
    <row r="75" spans="1:41" ht="15.75" customHeight="1">
      <c r="A75" s="1"/>
      <c r="B75" s="77" t="s">
        <v>78</v>
      </c>
      <c r="C75" s="78">
        <f t="shared" ref="C75:J75" si="0">SUM(C18:C74)</f>
        <v>8606.8000000000011</v>
      </c>
      <c r="D75" s="78">
        <f t="shared" si="0"/>
        <v>8271.2000000000007</v>
      </c>
      <c r="E75" s="78">
        <f t="shared" si="0"/>
        <v>11348.6</v>
      </c>
      <c r="F75" s="78">
        <f t="shared" si="0"/>
        <v>11700.6</v>
      </c>
      <c r="G75" s="78">
        <f t="shared" si="0"/>
        <v>0</v>
      </c>
      <c r="H75" s="78">
        <f t="shared" si="0"/>
        <v>0</v>
      </c>
      <c r="I75" s="78">
        <f t="shared" si="0"/>
        <v>0</v>
      </c>
      <c r="J75" s="78">
        <f t="shared" si="0"/>
        <v>0</v>
      </c>
      <c r="K75" s="78">
        <f t="shared" ref="K75:N75" si="1">SUM(K18:K64)</f>
        <v>0</v>
      </c>
      <c r="L75" s="78">
        <f t="shared" si="1"/>
        <v>0</v>
      </c>
      <c r="M75" s="78">
        <f t="shared" si="1"/>
        <v>0</v>
      </c>
      <c r="N75" s="78">
        <f t="shared" si="1"/>
        <v>0</v>
      </c>
      <c r="O75" s="78">
        <f t="shared" ref="O75:V75" si="2">SUM(O18:O59)</f>
        <v>0</v>
      </c>
      <c r="P75" s="78">
        <f t="shared" si="2"/>
        <v>0</v>
      </c>
      <c r="Q75" s="78">
        <f t="shared" si="2"/>
        <v>0</v>
      </c>
      <c r="R75" s="78">
        <f t="shared" si="2"/>
        <v>0</v>
      </c>
      <c r="S75" s="78">
        <f t="shared" si="2"/>
        <v>0</v>
      </c>
      <c r="T75" s="78">
        <f t="shared" si="2"/>
        <v>0</v>
      </c>
      <c r="U75" s="78">
        <f t="shared" si="2"/>
        <v>0</v>
      </c>
      <c r="V75" s="78">
        <f t="shared" si="2"/>
        <v>0</v>
      </c>
      <c r="W75" s="22"/>
      <c r="X75" s="22"/>
      <c r="Y75" s="40"/>
      <c r="Z75" s="22"/>
      <c r="AA75" s="22"/>
      <c r="AB75" s="22"/>
      <c r="AC75" s="22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</row>
    <row r="76" spans="1:41" ht="54.75" customHeight="1">
      <c r="A76" s="1"/>
      <c r="B76" s="79" t="s">
        <v>79</v>
      </c>
      <c r="C76" s="111">
        <f>SUM(C75:D75)</f>
        <v>16878</v>
      </c>
      <c r="D76" s="91"/>
      <c r="E76" s="111">
        <f>SUM(E75:F75)</f>
        <v>23049.200000000001</v>
      </c>
      <c r="F76" s="91"/>
      <c r="G76" s="111">
        <f>SUM(G75:H75)</f>
        <v>0</v>
      </c>
      <c r="H76" s="91"/>
      <c r="I76" s="111">
        <f>SUM(I75:J75)</f>
        <v>0</v>
      </c>
      <c r="J76" s="91"/>
      <c r="K76" s="111">
        <f>SUM(K75:L75)</f>
        <v>0</v>
      </c>
      <c r="L76" s="91"/>
      <c r="M76" s="111">
        <f>SUM(M75:N75)</f>
        <v>0</v>
      </c>
      <c r="N76" s="91"/>
      <c r="O76" s="95">
        <f>SUM(O75:P75)</f>
        <v>0</v>
      </c>
      <c r="P76" s="96"/>
      <c r="Q76" s="95">
        <f>SUM(Q75:R75)</f>
        <v>0</v>
      </c>
      <c r="R76" s="96"/>
      <c r="S76" s="95">
        <f>SUM(S75:T75)</f>
        <v>0</v>
      </c>
      <c r="T76" s="96"/>
      <c r="U76" s="95">
        <f>SUM(U75:V75)</f>
        <v>0</v>
      </c>
      <c r="V76" s="96"/>
      <c r="W76" s="22"/>
      <c r="X76" s="22"/>
      <c r="Y76" s="40"/>
      <c r="Z76" s="80"/>
      <c r="AA76" s="22"/>
      <c r="AB76" s="22"/>
      <c r="AC76" s="22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</row>
    <row r="77" spans="1:41" ht="28.5" customHeight="1">
      <c r="A77" s="1"/>
      <c r="B77" s="97" t="str">
        <f>CONCATENATE("CUADRILLA ", C17)</f>
        <v>CUADRILLA FELIX</v>
      </c>
      <c r="C77" s="98"/>
      <c r="D77" s="98"/>
      <c r="E77" s="98"/>
      <c r="F77" s="98"/>
      <c r="G77" s="99"/>
      <c r="H77" s="103">
        <f>+C75+E75+G75+I75+K75+M75+O75+Q75+S75+U75</f>
        <v>19955.400000000001</v>
      </c>
      <c r="I77" s="98"/>
      <c r="J77" s="98"/>
      <c r="K77" s="99"/>
      <c r="L77" s="104" t="str">
        <f>CONCATENATE("CUADRILLA ", D17)</f>
        <v>CUADRILLA LUIS</v>
      </c>
      <c r="M77" s="98"/>
      <c r="N77" s="98"/>
      <c r="O77" s="98"/>
      <c r="P77" s="98"/>
      <c r="Q77" s="98"/>
      <c r="R77" s="99"/>
      <c r="S77" s="103">
        <f>+D75+F75+H75+J75+L75+N75+P75+R75+T75+V75</f>
        <v>19971.800000000003</v>
      </c>
      <c r="T77" s="98"/>
      <c r="U77" s="98"/>
      <c r="V77" s="99"/>
      <c r="W77" s="22"/>
      <c r="X77" s="22"/>
      <c r="Y77" s="40"/>
      <c r="Z77" s="22"/>
      <c r="AA77" s="22"/>
      <c r="AB77" s="22"/>
      <c r="AC77" s="22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</row>
    <row r="78" spans="1:41" ht="28.5" customHeight="1">
      <c r="A78" s="1"/>
      <c r="B78" s="100"/>
      <c r="C78" s="101"/>
      <c r="D78" s="101"/>
      <c r="E78" s="101"/>
      <c r="F78" s="101"/>
      <c r="G78" s="102"/>
      <c r="H78" s="100"/>
      <c r="I78" s="101"/>
      <c r="J78" s="101"/>
      <c r="K78" s="102"/>
      <c r="L78" s="100"/>
      <c r="M78" s="101"/>
      <c r="N78" s="101"/>
      <c r="O78" s="101"/>
      <c r="P78" s="101"/>
      <c r="Q78" s="101"/>
      <c r="R78" s="102"/>
      <c r="S78" s="100"/>
      <c r="T78" s="101"/>
      <c r="U78" s="101"/>
      <c r="V78" s="102"/>
      <c r="W78" s="54"/>
      <c r="X78" s="54"/>
      <c r="Y78" s="81"/>
      <c r="Z78" s="80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</row>
    <row r="79" spans="1:41" ht="28.5" customHeight="1">
      <c r="A79" s="1"/>
      <c r="B79" s="105">
        <f>SUM(C76:V76)</f>
        <v>39927.199999999997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7"/>
      <c r="W79" s="54"/>
      <c r="X79" s="54"/>
      <c r="Y79" s="81"/>
      <c r="Z79" s="80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</row>
    <row r="80" spans="1:41" ht="28.5" customHeight="1">
      <c r="A80" s="1"/>
      <c r="B80" s="108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10"/>
      <c r="W80" s="54"/>
      <c r="X80" s="54"/>
      <c r="Y80" s="81"/>
      <c r="Z80" s="80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</row>
    <row r="81" spans="1:41" ht="28.5" hidden="1" customHeight="1">
      <c r="A81" s="1"/>
      <c r="B81" s="82"/>
      <c r="C81" s="82"/>
      <c r="D81" s="83" t="str">
        <f>+B77</f>
        <v>CUADRILLA FELIX</v>
      </c>
      <c r="E81" s="83"/>
      <c r="F81" s="84">
        <f>+H77</f>
        <v>19955.400000000001</v>
      </c>
      <c r="G81" s="82"/>
      <c r="H81" s="82"/>
      <c r="I81" s="82"/>
      <c r="J81" s="82"/>
      <c r="K81" s="82"/>
      <c r="L81" s="82"/>
      <c r="M81" s="82"/>
      <c r="N81" s="82"/>
      <c r="O81" s="83" t="str">
        <f>+L77</f>
        <v>CUADRILLA LUIS</v>
      </c>
      <c r="P81" s="82"/>
      <c r="Q81" s="85">
        <f>+S77</f>
        <v>19971.800000000003</v>
      </c>
      <c r="R81" s="82"/>
      <c r="S81" s="82"/>
      <c r="T81" s="82"/>
      <c r="U81" s="82"/>
      <c r="V81" s="86"/>
      <c r="W81" s="54"/>
      <c r="X81" s="54"/>
      <c r="Y81" s="81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</row>
    <row r="82" spans="1:41" ht="28.5" customHeight="1">
      <c r="A82" s="1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6"/>
      <c r="W82" s="54"/>
      <c r="X82" s="54"/>
      <c r="Y82" s="81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</row>
    <row r="83" spans="1:41" ht="28.5" customHeight="1">
      <c r="A83" s="1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6"/>
      <c r="W83" s="54"/>
      <c r="X83" s="54"/>
      <c r="Y83" s="81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</row>
    <row r="84" spans="1:41" ht="28.5" customHeight="1">
      <c r="A84" s="1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6"/>
      <c r="W84" s="54"/>
      <c r="X84" s="54"/>
      <c r="Y84" s="81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</row>
    <row r="85" spans="1:41" ht="28.5" customHeight="1">
      <c r="A85" s="1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6"/>
      <c r="W85" s="54"/>
      <c r="X85" s="54"/>
      <c r="Y85" s="81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</row>
    <row r="86" spans="1:41" ht="28.5" customHeight="1">
      <c r="A86" s="1"/>
      <c r="B86" s="82"/>
      <c r="C86" s="82"/>
      <c r="D86" s="82"/>
      <c r="E86" s="82"/>
      <c r="F86" s="82"/>
      <c r="G86" s="82"/>
      <c r="H86" s="82"/>
      <c r="I86" s="87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6"/>
      <c r="W86" s="54"/>
      <c r="X86" s="54"/>
      <c r="Y86" s="81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</row>
    <row r="87" spans="1:41" ht="28.5" customHeight="1">
      <c r="A87" s="1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6"/>
      <c r="W87" s="54"/>
      <c r="X87" s="54"/>
      <c r="Y87" s="81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</row>
    <row r="88" spans="1:41" ht="28.5" customHeight="1">
      <c r="A88" s="1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6"/>
      <c r="W88" s="54"/>
      <c r="X88" s="54"/>
      <c r="Y88" s="81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</row>
    <row r="89" spans="1:41" ht="28.5" customHeight="1">
      <c r="A89" s="1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6"/>
      <c r="W89" s="54"/>
      <c r="X89" s="54"/>
      <c r="Y89" s="81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</row>
    <row r="90" spans="1:41" ht="28.5" customHeight="1">
      <c r="A90" s="1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6"/>
      <c r="W90" s="54"/>
      <c r="X90" s="54"/>
      <c r="Y90" s="81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</row>
    <row r="91" spans="1:41" ht="28.5" customHeight="1">
      <c r="A91" s="1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6"/>
      <c r="W91" s="54"/>
      <c r="X91" s="54"/>
      <c r="Y91" s="81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</row>
    <row r="92" spans="1:41" ht="28.5" customHeight="1">
      <c r="A92" s="1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6"/>
      <c r="W92" s="54"/>
      <c r="X92" s="54"/>
      <c r="Y92" s="81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</row>
    <row r="93" spans="1:41" ht="28.5" customHeight="1">
      <c r="A93" s="1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6"/>
      <c r="W93" s="54"/>
      <c r="X93" s="54"/>
      <c r="Y93" s="81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</row>
    <row r="94" spans="1:41" ht="28.5" customHeight="1">
      <c r="A94" s="1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6"/>
      <c r="W94" s="54"/>
      <c r="X94" s="54"/>
      <c r="Y94" s="81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</row>
    <row r="95" spans="1:41" ht="28.5" customHeight="1">
      <c r="A95" s="1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6"/>
      <c r="W95" s="54"/>
      <c r="X95" s="54"/>
      <c r="Y95" s="81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</row>
    <row r="96" spans="1:41" ht="28.5" customHeight="1">
      <c r="A96" s="1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6"/>
      <c r="W96" s="54"/>
      <c r="X96" s="54"/>
      <c r="Y96" s="81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</row>
    <row r="97" spans="1:41" ht="28.5" customHeight="1">
      <c r="A97" s="1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6"/>
      <c r="W97" s="54"/>
      <c r="X97" s="54"/>
      <c r="Y97" s="81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</row>
    <row r="98" spans="1:41" ht="28.5" customHeight="1">
      <c r="A98" s="1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6"/>
      <c r="W98" s="54"/>
      <c r="X98" s="54"/>
      <c r="Y98" s="81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</row>
    <row r="99" spans="1:41" ht="28.5" customHeight="1">
      <c r="A99" s="1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6"/>
      <c r="W99" s="54"/>
      <c r="X99" s="54"/>
      <c r="Y99" s="81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</row>
    <row r="100" spans="1:41" ht="28.5" customHeight="1">
      <c r="A100" s="1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6"/>
      <c r="W100" s="54"/>
      <c r="X100" s="54"/>
      <c r="Y100" s="81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</row>
    <row r="101" spans="1:41" ht="28.5" customHeight="1">
      <c r="A101" s="1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6"/>
      <c r="W101" s="54"/>
      <c r="X101" s="54"/>
      <c r="Y101" s="81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</row>
    <row r="102" spans="1:41" ht="28.5" customHeight="1">
      <c r="A102" s="1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6"/>
      <c r="W102" s="54"/>
      <c r="X102" s="54"/>
      <c r="Y102" s="81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</row>
    <row r="103" spans="1:41" ht="28.5" customHeight="1">
      <c r="A103" s="1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6"/>
      <c r="W103" s="54"/>
      <c r="X103" s="54"/>
      <c r="Y103" s="81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</row>
    <row r="104" spans="1:41" ht="22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22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22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22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spans="1:4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spans="1:4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spans="1:4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spans="1:4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spans="1:4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spans="1:4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  <row r="1001" spans="1:4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</row>
    <row r="1002" spans="1:41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</row>
    <row r="1003" spans="1:41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</row>
    <row r="1004" spans="1:41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</row>
    <row r="1005" spans="1:41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</row>
    <row r="1006" spans="1:41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</row>
    <row r="1007" spans="1:41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</row>
    <row r="1008" spans="1:41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</row>
    <row r="1009" spans="1:41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</row>
    <row r="1010" spans="1:41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</row>
    <row r="1011" spans="1:4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</row>
    <row r="1012" spans="1:41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</row>
    <row r="1013" spans="1:41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</row>
    <row r="1014" spans="1:41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</row>
    <row r="1015" spans="1:41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</row>
    <row r="1016" spans="1:41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</row>
    <row r="1017" spans="1:41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</row>
    <row r="1018" spans="1:41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</row>
  </sheetData>
  <mergeCells count="71">
    <mergeCell ref="S14:T14"/>
    <mergeCell ref="U14:V14"/>
    <mergeCell ref="B2:D4"/>
    <mergeCell ref="B7:D7"/>
    <mergeCell ref="B10:D10"/>
    <mergeCell ref="B11:D11"/>
    <mergeCell ref="C14:D14"/>
    <mergeCell ref="E14:F14"/>
    <mergeCell ref="G14:H14"/>
    <mergeCell ref="I14:J14"/>
    <mergeCell ref="K14:L14"/>
    <mergeCell ref="M14:N14"/>
    <mergeCell ref="O14:P14"/>
    <mergeCell ref="Q14:R14"/>
    <mergeCell ref="E11:P11"/>
    <mergeCell ref="Q11:S11"/>
    <mergeCell ref="B12:V12"/>
    <mergeCell ref="E7:F7"/>
    <mergeCell ref="G7:R7"/>
    <mergeCell ref="G8:R8"/>
    <mergeCell ref="S8:V8"/>
    <mergeCell ref="E10:P10"/>
    <mergeCell ref="Q10:S10"/>
    <mergeCell ref="T10:V10"/>
    <mergeCell ref="AB4:AC4"/>
    <mergeCell ref="AA5:AA6"/>
    <mergeCell ref="A2:A8"/>
    <mergeCell ref="B8:D8"/>
    <mergeCell ref="E8:F8"/>
    <mergeCell ref="E2:S4"/>
    <mergeCell ref="U2:V2"/>
    <mergeCell ref="U3:V3"/>
    <mergeCell ref="U4:V4"/>
    <mergeCell ref="B5:V5"/>
    <mergeCell ref="B6:V6"/>
    <mergeCell ref="S7:V7"/>
    <mergeCell ref="B79:V80"/>
    <mergeCell ref="C76:D76"/>
    <mergeCell ref="E76:F76"/>
    <mergeCell ref="G76:H76"/>
    <mergeCell ref="I76:J76"/>
    <mergeCell ref="K76:L76"/>
    <mergeCell ref="M76:N76"/>
    <mergeCell ref="O76:P76"/>
    <mergeCell ref="Q76:R76"/>
    <mergeCell ref="S76:T76"/>
    <mergeCell ref="U76:V76"/>
    <mergeCell ref="B77:G78"/>
    <mergeCell ref="H77:K78"/>
    <mergeCell ref="L77:R78"/>
    <mergeCell ref="S77:V78"/>
    <mergeCell ref="Q16:R16"/>
    <mergeCell ref="S16:T16"/>
    <mergeCell ref="U16:V16"/>
    <mergeCell ref="C16:D16"/>
    <mergeCell ref="E16:F16"/>
    <mergeCell ref="G16:H16"/>
    <mergeCell ref="I16:J16"/>
    <mergeCell ref="K16:L16"/>
    <mergeCell ref="M16:N16"/>
    <mergeCell ref="O16:P16"/>
    <mergeCell ref="Q15:R15"/>
    <mergeCell ref="S15:T15"/>
    <mergeCell ref="U15:V15"/>
    <mergeCell ref="C15:D15"/>
    <mergeCell ref="E15:F15"/>
    <mergeCell ref="G15:H15"/>
    <mergeCell ref="I15:J15"/>
    <mergeCell ref="K15:L15"/>
    <mergeCell ref="M15:N15"/>
    <mergeCell ref="O15:P15"/>
  </mergeCells>
  <dataValidations count="3">
    <dataValidation type="list" allowBlank="1" showErrorMessage="1" sqref="C17:V17" xr:uid="{00000000-0002-0000-0000-000000000000}">
      <formula1>$Z$2:$Z$4</formula1>
    </dataValidation>
    <dataValidation type="list" allowBlank="1" showErrorMessage="1" sqref="AA4" xr:uid="{00000000-0002-0000-0000-000001000000}">
      <formula1>'POTA ENTERA'!LISTA</formula1>
    </dataValidation>
    <dataValidation type="list" allowBlank="1" showErrorMessage="1" sqref="C104:C1018 E104:E1018 G104:G1018 I104:I1018 K104:K1018 M104:M1018 O104:O1018 Q104:Q1018 S104:S1018 U104:U1018" xr:uid="{00000000-0002-0000-0000-000002000000}">
      <formula1>$C$17:$V$17</formula1>
    </dataValidation>
  </dataValidations>
  <pageMargins left="0.24" right="0.25" top="0.18" bottom="0.17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topLeftCell="A13" workbookViewId="0"/>
  </sheetViews>
  <sheetFormatPr baseColWidth="10" defaultColWidth="14.42578125" defaultRowHeight="15" customHeight="1"/>
  <cols>
    <col min="1" max="1" width="1.7109375" customWidth="1"/>
    <col min="2" max="3" width="8.85546875" customWidth="1"/>
    <col min="4" max="7" width="7.5703125" customWidth="1"/>
    <col min="8" max="8" width="8.140625" customWidth="1"/>
    <col min="9" max="13" width="7.5703125" customWidth="1"/>
    <col min="14" max="14" width="8" customWidth="1"/>
    <col min="15" max="16" width="7.85546875" customWidth="1"/>
    <col min="17" max="26" width="8" customWidth="1"/>
  </cols>
  <sheetData>
    <row r="1" spans="1:26" ht="4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 customHeight="1">
      <c r="A2" s="2"/>
      <c r="B2" s="181"/>
      <c r="C2" s="166"/>
      <c r="D2" s="176"/>
      <c r="E2" s="175" t="s">
        <v>1</v>
      </c>
      <c r="F2" s="166"/>
      <c r="G2" s="166"/>
      <c r="H2" s="166"/>
      <c r="I2" s="166"/>
      <c r="J2" s="166"/>
      <c r="K2" s="166"/>
      <c r="L2" s="176"/>
      <c r="M2" s="171" t="s">
        <v>2</v>
      </c>
      <c r="N2" s="143"/>
      <c r="O2" s="179" t="s">
        <v>3</v>
      </c>
      <c r="P2" s="143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.75" customHeight="1">
      <c r="A3" s="2"/>
      <c r="B3" s="177"/>
      <c r="C3" s="113"/>
      <c r="D3" s="178"/>
      <c r="E3" s="177"/>
      <c r="F3" s="113"/>
      <c r="G3" s="113"/>
      <c r="H3" s="113"/>
      <c r="I3" s="113"/>
      <c r="J3" s="113"/>
      <c r="K3" s="113"/>
      <c r="L3" s="178"/>
      <c r="M3" s="171" t="s">
        <v>6</v>
      </c>
      <c r="N3" s="143"/>
      <c r="O3" s="179">
        <v>1</v>
      </c>
      <c r="P3" s="143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75" customHeight="1">
      <c r="A4" s="2"/>
      <c r="B4" s="177"/>
      <c r="C4" s="113"/>
      <c r="D4" s="178"/>
      <c r="E4" s="177"/>
      <c r="F4" s="113"/>
      <c r="G4" s="113"/>
      <c r="H4" s="113"/>
      <c r="I4" s="113"/>
      <c r="J4" s="113"/>
      <c r="K4" s="113"/>
      <c r="L4" s="178"/>
      <c r="M4" s="171" t="s">
        <v>9</v>
      </c>
      <c r="N4" s="143"/>
      <c r="O4" s="180" t="s">
        <v>10</v>
      </c>
      <c r="P4" s="14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>
      <c r="A5" s="2"/>
      <c r="B5" s="108"/>
      <c r="C5" s="109"/>
      <c r="D5" s="110"/>
      <c r="E5" s="108"/>
      <c r="F5" s="109"/>
      <c r="G5" s="109"/>
      <c r="H5" s="109"/>
      <c r="I5" s="109"/>
      <c r="J5" s="109"/>
      <c r="K5" s="109"/>
      <c r="L5" s="110"/>
      <c r="M5" s="171" t="s">
        <v>14</v>
      </c>
      <c r="N5" s="143"/>
      <c r="O5" s="179">
        <v>1</v>
      </c>
      <c r="P5" s="143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6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4" customHeight="1">
      <c r="A7" s="2"/>
      <c r="B7" s="172" t="s">
        <v>18</v>
      </c>
      <c r="C7" s="113"/>
      <c r="D7" s="173" t="str">
        <f>+'POTA ENTERA'!E10</f>
        <v>GLOBAL TOP FOOD PERÚ S.A.C.</v>
      </c>
      <c r="E7" s="109"/>
      <c r="F7" s="109"/>
      <c r="G7" s="109"/>
      <c r="H7" s="109"/>
      <c r="I7" s="13"/>
      <c r="J7" s="172" t="s">
        <v>19</v>
      </c>
      <c r="K7" s="113"/>
      <c r="L7" s="12"/>
      <c r="M7" s="173" t="s">
        <v>21</v>
      </c>
      <c r="N7" s="109"/>
      <c r="O7" s="109"/>
      <c r="P7" s="14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>
      <c r="A8" s="2"/>
      <c r="B8" s="172" t="s">
        <v>22</v>
      </c>
      <c r="C8" s="113"/>
      <c r="D8" s="182" t="s">
        <v>23</v>
      </c>
      <c r="E8" s="142"/>
      <c r="F8" s="16" t="s">
        <v>24</v>
      </c>
      <c r="G8" s="183">
        <f>+'POTA ENTERA'!U11</f>
        <v>46227</v>
      </c>
      <c r="H8" s="142"/>
      <c r="I8" s="13"/>
      <c r="J8" s="172" t="s">
        <v>26</v>
      </c>
      <c r="K8" s="113"/>
      <c r="L8" s="14"/>
      <c r="M8" s="174" t="s">
        <v>27</v>
      </c>
      <c r="N8" s="142"/>
      <c r="O8" s="142"/>
      <c r="P8" s="14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>
      <c r="A9" s="2"/>
      <c r="B9" s="172" t="s">
        <v>30</v>
      </c>
      <c r="C9" s="113"/>
      <c r="D9" s="14"/>
      <c r="E9" s="18">
        <v>0.29166666666666669</v>
      </c>
      <c r="F9" s="14"/>
      <c r="G9" s="17"/>
      <c r="H9" s="14"/>
      <c r="I9" s="13"/>
      <c r="J9" s="172" t="s">
        <v>33</v>
      </c>
      <c r="K9" s="113"/>
      <c r="L9" s="14"/>
      <c r="M9" s="17"/>
      <c r="N9" s="14" t="s">
        <v>34</v>
      </c>
      <c r="O9" s="17"/>
      <c r="P9" s="14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>
      <c r="A10" s="2"/>
      <c r="B10" s="172" t="s">
        <v>35</v>
      </c>
      <c r="C10" s="113"/>
      <c r="D10" s="174" t="s">
        <v>36</v>
      </c>
      <c r="E10" s="142"/>
      <c r="F10" s="142"/>
      <c r="G10" s="142"/>
      <c r="H10" s="142"/>
      <c r="I10" s="13"/>
      <c r="J10" s="172" t="s">
        <v>38</v>
      </c>
      <c r="K10" s="113"/>
      <c r="L10" s="14"/>
      <c r="M10" s="17"/>
      <c r="N10" s="14"/>
      <c r="O10" s="17"/>
      <c r="P10" s="14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2"/>
      <c r="B11" s="10"/>
      <c r="C11" s="10"/>
      <c r="D11" s="13"/>
      <c r="E11" s="23"/>
      <c r="F11" s="13"/>
      <c r="G11" s="23"/>
      <c r="H11" s="13"/>
      <c r="I11" s="13"/>
      <c r="J11" s="10"/>
      <c r="K11" s="10"/>
      <c r="L11" s="13"/>
      <c r="M11" s="23"/>
      <c r="N11" s="13"/>
      <c r="O11" s="23"/>
      <c r="P11" s="1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3.75" customHeight="1">
      <c r="A13" s="2"/>
      <c r="B13" s="157" t="s">
        <v>42</v>
      </c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91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7.75" customHeight="1">
      <c r="A15" s="2"/>
      <c r="B15" s="29" t="s">
        <v>44</v>
      </c>
      <c r="C15" s="158" t="s">
        <v>45</v>
      </c>
      <c r="D15" s="142"/>
      <c r="E15" s="142"/>
      <c r="F15" s="142"/>
      <c r="G15" s="142"/>
      <c r="H15" s="142"/>
      <c r="I15" s="142"/>
      <c r="J15" s="143"/>
      <c r="K15" s="153" t="s">
        <v>49</v>
      </c>
      <c r="L15" s="143"/>
      <c r="M15" s="153" t="s">
        <v>50</v>
      </c>
      <c r="N15" s="143"/>
      <c r="O15" s="153" t="s">
        <v>51</v>
      </c>
      <c r="P15" s="1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 customHeight="1">
      <c r="A16" s="2"/>
      <c r="B16" s="30">
        <v>1</v>
      </c>
      <c r="C16" s="159" t="str">
        <f>+'POTA ENTERA'!D81</f>
        <v>CUADRILLA FELIX</v>
      </c>
      <c r="D16" s="142"/>
      <c r="E16" s="142"/>
      <c r="F16" s="142"/>
      <c r="G16" s="142"/>
      <c r="H16" s="142"/>
      <c r="I16" s="142"/>
      <c r="J16" s="143"/>
      <c r="K16" s="160"/>
      <c r="L16" s="143"/>
      <c r="M16" s="161">
        <f>+'POTA ENTERA'!F81</f>
        <v>19955.400000000001</v>
      </c>
      <c r="N16" s="143"/>
      <c r="O16" s="160">
        <v>160</v>
      </c>
      <c r="P16" s="1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0.25" customHeight="1">
      <c r="A17" s="2"/>
      <c r="B17" s="30">
        <v>2</v>
      </c>
      <c r="C17" s="160"/>
      <c r="D17" s="142"/>
      <c r="E17" s="142"/>
      <c r="F17" s="142"/>
      <c r="G17" s="142"/>
      <c r="H17" s="142"/>
      <c r="I17" s="142"/>
      <c r="J17" s="143"/>
      <c r="K17" s="160"/>
      <c r="L17" s="143"/>
      <c r="M17" s="160"/>
      <c r="N17" s="143"/>
      <c r="O17" s="160"/>
      <c r="P17" s="1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>
      <c r="A18" s="2"/>
      <c r="B18" s="35"/>
      <c r="C18" s="154"/>
      <c r="D18" s="113"/>
      <c r="E18" s="113"/>
      <c r="F18" s="113"/>
      <c r="G18" s="113"/>
      <c r="H18" s="37"/>
      <c r="I18" s="154"/>
      <c r="J18" s="113"/>
      <c r="K18" s="155" t="s">
        <v>55</v>
      </c>
      <c r="L18" s="143"/>
      <c r="M18" s="156">
        <f>+M16*O16/1000</f>
        <v>3192.864</v>
      </c>
      <c r="N18" s="142"/>
      <c r="O18" s="142"/>
      <c r="P18" s="1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4.5" customHeight="1">
      <c r="A21" s="2"/>
      <c r="B21" s="157" t="s">
        <v>57</v>
      </c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91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>
      <c r="A23" s="2"/>
      <c r="B23" s="29" t="s">
        <v>44</v>
      </c>
      <c r="C23" s="158" t="s">
        <v>45</v>
      </c>
      <c r="D23" s="142"/>
      <c r="E23" s="142"/>
      <c r="F23" s="142"/>
      <c r="G23" s="142"/>
      <c r="H23" s="142"/>
      <c r="I23" s="142"/>
      <c r="J23" s="143"/>
      <c r="K23" s="153" t="s">
        <v>63</v>
      </c>
      <c r="L23" s="143"/>
      <c r="M23" s="153" t="s">
        <v>50</v>
      </c>
      <c r="N23" s="143"/>
      <c r="O23" s="153" t="s">
        <v>51</v>
      </c>
      <c r="P23" s="143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 customHeight="1">
      <c r="A24" s="2"/>
      <c r="B24" s="30">
        <v>1</v>
      </c>
      <c r="C24" s="159" t="str">
        <f>+C16</f>
        <v>CUADRILLA FELIX</v>
      </c>
      <c r="D24" s="142"/>
      <c r="E24" s="142"/>
      <c r="F24" s="142"/>
      <c r="G24" s="142"/>
      <c r="H24" s="142"/>
      <c r="I24" s="142"/>
      <c r="J24" s="143"/>
      <c r="K24" s="160"/>
      <c r="L24" s="143"/>
      <c r="M24" s="161">
        <f>+M16*0.4</f>
        <v>7982.1600000000008</v>
      </c>
      <c r="N24" s="143"/>
      <c r="O24" s="160">
        <v>150</v>
      </c>
      <c r="P24" s="143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>
      <c r="A25" s="2"/>
      <c r="B25" s="30">
        <v>2</v>
      </c>
      <c r="C25" s="160"/>
      <c r="D25" s="142"/>
      <c r="E25" s="142"/>
      <c r="F25" s="142"/>
      <c r="G25" s="142"/>
      <c r="H25" s="142"/>
      <c r="I25" s="142"/>
      <c r="J25" s="143"/>
      <c r="K25" s="160"/>
      <c r="L25" s="143"/>
      <c r="M25" s="160"/>
      <c r="N25" s="143"/>
      <c r="O25" s="160"/>
      <c r="P25" s="143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>
      <c r="A26" s="2"/>
      <c r="B26" s="35"/>
      <c r="C26" s="154"/>
      <c r="D26" s="113"/>
      <c r="E26" s="113"/>
      <c r="F26" s="113"/>
      <c r="G26" s="113"/>
      <c r="H26" s="37"/>
      <c r="I26" s="154"/>
      <c r="J26" s="113"/>
      <c r="K26" s="155" t="s">
        <v>55</v>
      </c>
      <c r="L26" s="143"/>
      <c r="M26" s="156">
        <f>+M24*O24/1000</f>
        <v>1197.3240000000001</v>
      </c>
      <c r="N26" s="142"/>
      <c r="O26" s="142"/>
      <c r="P26" s="143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4.5" customHeight="1">
      <c r="A29" s="2"/>
      <c r="B29" s="157" t="s">
        <v>66</v>
      </c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91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9.25" customHeight="1">
      <c r="A31" s="2"/>
      <c r="B31" s="29" t="s">
        <v>44</v>
      </c>
      <c r="C31" s="158" t="s">
        <v>45</v>
      </c>
      <c r="D31" s="142"/>
      <c r="E31" s="142"/>
      <c r="F31" s="142"/>
      <c r="G31" s="142"/>
      <c r="H31" s="142"/>
      <c r="I31" s="142"/>
      <c r="J31" s="143"/>
      <c r="K31" s="153" t="s">
        <v>68</v>
      </c>
      <c r="L31" s="143"/>
      <c r="M31" s="153" t="s">
        <v>50</v>
      </c>
      <c r="N31" s="143"/>
      <c r="O31" s="153" t="s">
        <v>51</v>
      </c>
      <c r="P31" s="143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 customHeight="1">
      <c r="A32" s="2"/>
      <c r="B32" s="30">
        <v>1</v>
      </c>
      <c r="C32" s="159" t="str">
        <f>+C24</f>
        <v>CUADRILLA FELIX</v>
      </c>
      <c r="D32" s="142"/>
      <c r="E32" s="142"/>
      <c r="F32" s="142"/>
      <c r="G32" s="142"/>
      <c r="H32" s="142"/>
      <c r="I32" s="142"/>
      <c r="J32" s="143"/>
      <c r="K32" s="160"/>
      <c r="L32" s="143"/>
      <c r="M32" s="161">
        <v>130</v>
      </c>
      <c r="N32" s="143"/>
      <c r="O32" s="160">
        <v>100</v>
      </c>
      <c r="P32" s="143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>
      <c r="A33" s="2"/>
      <c r="B33" s="30">
        <v>2</v>
      </c>
      <c r="C33" s="160"/>
      <c r="D33" s="142"/>
      <c r="E33" s="142"/>
      <c r="F33" s="142"/>
      <c r="G33" s="142"/>
      <c r="H33" s="142"/>
      <c r="I33" s="142"/>
      <c r="J33" s="143"/>
      <c r="K33" s="160"/>
      <c r="L33" s="143"/>
      <c r="M33" s="160"/>
      <c r="N33" s="143"/>
      <c r="O33" s="160"/>
      <c r="P33" s="143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>
      <c r="A34" s="2"/>
      <c r="B34" s="35"/>
      <c r="C34" s="154"/>
      <c r="D34" s="113"/>
      <c r="E34" s="113"/>
      <c r="F34" s="113"/>
      <c r="G34" s="113"/>
      <c r="H34" s="37"/>
      <c r="I34" s="154"/>
      <c r="J34" s="113"/>
      <c r="K34" s="155" t="s">
        <v>55</v>
      </c>
      <c r="L34" s="143"/>
      <c r="M34" s="156">
        <f>+M32*O32/1000</f>
        <v>13</v>
      </c>
      <c r="N34" s="142"/>
      <c r="O34" s="142"/>
      <c r="P34" s="143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35"/>
      <c r="C35" s="36"/>
      <c r="D35" s="36"/>
      <c r="E35" s="36"/>
      <c r="F35" s="36"/>
      <c r="G35" s="36"/>
      <c r="H35" s="37"/>
      <c r="I35" s="36"/>
      <c r="J35" s="36"/>
      <c r="K35" s="2"/>
      <c r="L35" s="2"/>
      <c r="M35" s="59"/>
      <c r="N35" s="59"/>
      <c r="O35" s="59"/>
      <c r="P35" s="59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3" customHeight="1">
      <c r="A36" s="2"/>
      <c r="B36" s="35"/>
      <c r="C36" s="36"/>
      <c r="D36" s="36"/>
      <c r="E36" s="36"/>
      <c r="F36" s="36"/>
      <c r="G36" s="36"/>
      <c r="H36" s="37"/>
      <c r="I36" s="36"/>
      <c r="J36" s="36"/>
      <c r="K36" s="184" t="s">
        <v>69</v>
      </c>
      <c r="L36" s="119"/>
      <c r="M36" s="91"/>
      <c r="N36" s="185">
        <f>+M18+M26+M34</f>
        <v>4403.1880000000001</v>
      </c>
      <c r="O36" s="119"/>
      <c r="P36" s="91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>
      <c r="A37" s="2"/>
      <c r="B37" s="60" t="s">
        <v>70</v>
      </c>
      <c r="C37" s="36"/>
      <c r="D37" s="61"/>
      <c r="E37" s="61"/>
      <c r="F37" s="61"/>
      <c r="G37" s="61"/>
      <c r="H37" s="62"/>
      <c r="I37" s="61"/>
      <c r="J37" s="61"/>
      <c r="K37" s="63"/>
      <c r="L37" s="63"/>
      <c r="M37" s="61"/>
      <c r="N37" s="61"/>
      <c r="O37" s="61"/>
      <c r="P37" s="61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>
      <c r="A38" s="2"/>
      <c r="B38" s="64"/>
      <c r="C38" s="61"/>
      <c r="D38" s="61"/>
      <c r="E38" s="61"/>
      <c r="F38" s="61"/>
      <c r="G38" s="61"/>
      <c r="H38" s="62"/>
      <c r="I38" s="61"/>
      <c r="J38" s="61"/>
      <c r="K38" s="63"/>
      <c r="L38" s="63"/>
      <c r="M38" s="61"/>
      <c r="N38" s="61"/>
      <c r="O38" s="61"/>
      <c r="P38" s="61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2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2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2"/>
      <c r="B43" s="65"/>
      <c r="C43" s="165" t="s">
        <v>71</v>
      </c>
      <c r="D43" s="166"/>
      <c r="E43" s="166"/>
      <c r="F43" s="166"/>
      <c r="G43" s="65"/>
      <c r="H43" s="65"/>
      <c r="I43" s="65"/>
      <c r="J43" s="165" t="s">
        <v>72</v>
      </c>
      <c r="K43" s="166"/>
      <c r="L43" s="166"/>
      <c r="M43" s="166"/>
      <c r="N43" s="65"/>
      <c r="O43" s="65"/>
      <c r="P43" s="65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2"/>
      <c r="B45" s="167" t="s">
        <v>73</v>
      </c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3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8.5" customHeight="1">
      <c r="A46" s="2"/>
      <c r="B46" s="168" t="s">
        <v>74</v>
      </c>
      <c r="C46" s="169"/>
      <c r="D46" s="163" t="str">
        <f>+D10</f>
        <v>OMAR ESCOBEDO</v>
      </c>
      <c r="E46" s="142"/>
      <c r="F46" s="142"/>
      <c r="G46" s="142"/>
      <c r="H46" s="142"/>
      <c r="I46" s="142"/>
      <c r="J46" s="143"/>
      <c r="K46" s="162" t="s">
        <v>54</v>
      </c>
      <c r="L46" s="143"/>
      <c r="M46" s="170">
        <f>+G8</f>
        <v>46227</v>
      </c>
      <c r="N46" s="142"/>
      <c r="O46" s="142"/>
      <c r="P46" s="143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8.5" customHeight="1">
      <c r="A47" s="2"/>
      <c r="B47" s="162" t="s">
        <v>75</v>
      </c>
      <c r="C47" s="143"/>
      <c r="D47" s="163" t="s">
        <v>76</v>
      </c>
      <c r="E47" s="142"/>
      <c r="F47" s="142"/>
      <c r="G47" s="142"/>
      <c r="H47" s="142"/>
      <c r="I47" s="142"/>
      <c r="J47" s="143"/>
      <c r="K47" s="162" t="s">
        <v>77</v>
      </c>
      <c r="L47" s="164"/>
      <c r="M47" s="163"/>
      <c r="N47" s="142"/>
      <c r="O47" s="142"/>
      <c r="P47" s="143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8">
    <mergeCell ref="M34:P34"/>
    <mergeCell ref="K36:M36"/>
    <mergeCell ref="N36:P36"/>
    <mergeCell ref="C17:J17"/>
    <mergeCell ref="K17:L17"/>
    <mergeCell ref="C33:J33"/>
    <mergeCell ref="C34:G34"/>
    <mergeCell ref="I34:J34"/>
    <mergeCell ref="K34:L34"/>
    <mergeCell ref="C15:J15"/>
    <mergeCell ref="C16:J16"/>
    <mergeCell ref="K16:L16"/>
    <mergeCell ref="M16:N16"/>
    <mergeCell ref="O16:P16"/>
    <mergeCell ref="K15:L15"/>
    <mergeCell ref="M15:N15"/>
    <mergeCell ref="O15:P15"/>
    <mergeCell ref="M17:N17"/>
    <mergeCell ref="O17:P17"/>
    <mergeCell ref="B9:C9"/>
    <mergeCell ref="B10:C10"/>
    <mergeCell ref="D10:H10"/>
    <mergeCell ref="J10:K10"/>
    <mergeCell ref="B13:P13"/>
    <mergeCell ref="B2:D5"/>
    <mergeCell ref="B7:C7"/>
    <mergeCell ref="D7:H7"/>
    <mergeCell ref="B8:C8"/>
    <mergeCell ref="D8:E8"/>
    <mergeCell ref="G8:H8"/>
    <mergeCell ref="J9:K9"/>
    <mergeCell ref="E2:L5"/>
    <mergeCell ref="M2:N2"/>
    <mergeCell ref="O2:P2"/>
    <mergeCell ref="M3:N3"/>
    <mergeCell ref="O3:P3"/>
    <mergeCell ref="O4:P4"/>
    <mergeCell ref="O5:P5"/>
    <mergeCell ref="M4:N4"/>
    <mergeCell ref="M5:N5"/>
    <mergeCell ref="J7:K7"/>
    <mergeCell ref="M7:O7"/>
    <mergeCell ref="J8:K8"/>
    <mergeCell ref="M8:O8"/>
    <mergeCell ref="B47:C47"/>
    <mergeCell ref="D47:J47"/>
    <mergeCell ref="K47:L47"/>
    <mergeCell ref="M47:P47"/>
    <mergeCell ref="C43:F43"/>
    <mergeCell ref="J43:M43"/>
    <mergeCell ref="B45:P45"/>
    <mergeCell ref="B46:C46"/>
    <mergeCell ref="D46:J46"/>
    <mergeCell ref="K46:L46"/>
    <mergeCell ref="M46:P46"/>
    <mergeCell ref="C31:J31"/>
    <mergeCell ref="O31:P31"/>
    <mergeCell ref="K33:L33"/>
    <mergeCell ref="M33:N33"/>
    <mergeCell ref="K31:L31"/>
    <mergeCell ref="M31:N31"/>
    <mergeCell ref="C32:J32"/>
    <mergeCell ref="K32:L32"/>
    <mergeCell ref="M32:N32"/>
    <mergeCell ref="O32:P32"/>
    <mergeCell ref="O33:P33"/>
    <mergeCell ref="C26:G26"/>
    <mergeCell ref="I26:J26"/>
    <mergeCell ref="K26:L26"/>
    <mergeCell ref="M26:P26"/>
    <mergeCell ref="B29:P29"/>
    <mergeCell ref="C24:J24"/>
    <mergeCell ref="K24:L24"/>
    <mergeCell ref="M24:N24"/>
    <mergeCell ref="O24:P24"/>
    <mergeCell ref="K25:L25"/>
    <mergeCell ref="M25:N25"/>
    <mergeCell ref="O25:P25"/>
    <mergeCell ref="C25:J25"/>
    <mergeCell ref="M23:N23"/>
    <mergeCell ref="O23:P23"/>
    <mergeCell ref="C18:G18"/>
    <mergeCell ref="I18:J18"/>
    <mergeCell ref="K18:L18"/>
    <mergeCell ref="M18:P18"/>
    <mergeCell ref="B21:P21"/>
    <mergeCell ref="C23:J23"/>
    <mergeCell ref="K23:L23"/>
  </mergeCells>
  <pageMargins left="0.28000000000000003" right="0.11811023622047245" top="0.41" bottom="0.28000000000000003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tabSelected="1" topLeftCell="A15" workbookViewId="0">
      <selection activeCell="M32" sqref="M32:N32"/>
    </sheetView>
  </sheetViews>
  <sheetFormatPr baseColWidth="10" defaultColWidth="14.42578125" defaultRowHeight="15" customHeight="1"/>
  <cols>
    <col min="1" max="1" width="1.7109375" customWidth="1"/>
    <col min="2" max="3" width="8.85546875" customWidth="1"/>
    <col min="4" max="7" width="7.5703125" customWidth="1"/>
    <col min="8" max="8" width="8.140625" customWidth="1"/>
    <col min="9" max="13" width="7.5703125" customWidth="1"/>
    <col min="14" max="14" width="11.42578125" customWidth="1"/>
    <col min="15" max="16" width="7.85546875" customWidth="1"/>
    <col min="17" max="26" width="8" customWidth="1"/>
  </cols>
  <sheetData>
    <row r="1" spans="1:26" ht="4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 customHeight="1">
      <c r="A2" s="2"/>
      <c r="B2" s="181"/>
      <c r="C2" s="166"/>
      <c r="D2" s="176"/>
      <c r="E2" s="175" t="s">
        <v>1</v>
      </c>
      <c r="F2" s="166"/>
      <c r="G2" s="166"/>
      <c r="H2" s="166"/>
      <c r="I2" s="166"/>
      <c r="J2" s="166"/>
      <c r="K2" s="166"/>
      <c r="L2" s="176"/>
      <c r="M2" s="171" t="s">
        <v>2</v>
      </c>
      <c r="N2" s="143"/>
      <c r="O2" s="179" t="s">
        <v>3</v>
      </c>
      <c r="P2" s="143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.75" customHeight="1">
      <c r="A3" s="2"/>
      <c r="B3" s="177"/>
      <c r="C3" s="113"/>
      <c r="D3" s="178"/>
      <c r="E3" s="177"/>
      <c r="F3" s="113"/>
      <c r="G3" s="113"/>
      <c r="H3" s="113"/>
      <c r="I3" s="113"/>
      <c r="J3" s="113"/>
      <c r="K3" s="113"/>
      <c r="L3" s="178"/>
      <c r="M3" s="171" t="s">
        <v>6</v>
      </c>
      <c r="N3" s="143"/>
      <c r="O3" s="179">
        <v>1</v>
      </c>
      <c r="P3" s="143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75" customHeight="1">
      <c r="A4" s="2"/>
      <c r="B4" s="177"/>
      <c r="C4" s="113"/>
      <c r="D4" s="178"/>
      <c r="E4" s="177"/>
      <c r="F4" s="113"/>
      <c r="G4" s="113"/>
      <c r="H4" s="113"/>
      <c r="I4" s="113"/>
      <c r="J4" s="113"/>
      <c r="K4" s="113"/>
      <c r="L4" s="178"/>
      <c r="M4" s="171" t="s">
        <v>9</v>
      </c>
      <c r="N4" s="143"/>
      <c r="O4" s="180" t="s">
        <v>10</v>
      </c>
      <c r="P4" s="14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>
      <c r="A5" s="2"/>
      <c r="B5" s="108"/>
      <c r="C5" s="109"/>
      <c r="D5" s="110"/>
      <c r="E5" s="108"/>
      <c r="F5" s="109"/>
      <c r="G5" s="109"/>
      <c r="H5" s="109"/>
      <c r="I5" s="109"/>
      <c r="J5" s="109"/>
      <c r="K5" s="109"/>
      <c r="L5" s="110"/>
      <c r="M5" s="171" t="s">
        <v>14</v>
      </c>
      <c r="N5" s="143"/>
      <c r="O5" s="179">
        <v>1</v>
      </c>
      <c r="P5" s="143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6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4" customHeight="1">
      <c r="A7" s="2"/>
      <c r="B7" s="172" t="s">
        <v>18</v>
      </c>
      <c r="C7" s="113"/>
      <c r="D7" s="173" t="str">
        <f>+'POTA ENTERA'!E10</f>
        <v>GLOBAL TOP FOOD PERÚ S.A.C.</v>
      </c>
      <c r="E7" s="109"/>
      <c r="F7" s="109"/>
      <c r="G7" s="109"/>
      <c r="H7" s="109"/>
      <c r="I7" s="13"/>
      <c r="J7" s="172" t="s">
        <v>19</v>
      </c>
      <c r="K7" s="113"/>
      <c r="L7" s="12"/>
      <c r="M7" s="173" t="s">
        <v>21</v>
      </c>
      <c r="N7" s="109"/>
      <c r="O7" s="109"/>
      <c r="P7" s="14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4" customHeight="1">
      <c r="A8" s="2"/>
      <c r="B8" s="172" t="s">
        <v>22</v>
      </c>
      <c r="C8" s="113"/>
      <c r="D8" s="182" t="s">
        <v>23</v>
      </c>
      <c r="E8" s="142"/>
      <c r="F8" s="16" t="s">
        <v>24</v>
      </c>
      <c r="G8" s="183">
        <f>+'POTA ENTERA'!U11</f>
        <v>46227</v>
      </c>
      <c r="H8" s="142"/>
      <c r="I8" s="13"/>
      <c r="J8" s="172" t="s">
        <v>26</v>
      </c>
      <c r="K8" s="113"/>
      <c r="L8" s="14"/>
      <c r="M8" s="174" t="s">
        <v>27</v>
      </c>
      <c r="N8" s="142"/>
      <c r="O8" s="142"/>
      <c r="P8" s="14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" customHeight="1">
      <c r="A9" s="2"/>
      <c r="B9" s="172" t="s">
        <v>30</v>
      </c>
      <c r="C9" s="113"/>
      <c r="D9" s="14"/>
      <c r="E9" s="17"/>
      <c r="F9" s="14" t="s">
        <v>31</v>
      </c>
      <c r="G9" s="17"/>
      <c r="H9" s="14"/>
      <c r="I9" s="13"/>
      <c r="J9" s="172" t="s">
        <v>33</v>
      </c>
      <c r="K9" s="113"/>
      <c r="L9" s="14"/>
      <c r="M9" s="17"/>
      <c r="N9" s="20">
        <v>0.68402777777777779</v>
      </c>
      <c r="O9" s="17"/>
      <c r="P9" s="14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>
      <c r="A10" s="2"/>
      <c r="B10" s="172" t="s">
        <v>35</v>
      </c>
      <c r="C10" s="113"/>
      <c r="D10" s="174" t="s">
        <v>36</v>
      </c>
      <c r="E10" s="142"/>
      <c r="F10" s="142"/>
      <c r="G10" s="142"/>
      <c r="H10" s="142"/>
      <c r="I10" s="13"/>
      <c r="J10" s="172" t="s">
        <v>38</v>
      </c>
      <c r="K10" s="113"/>
      <c r="L10" s="14"/>
      <c r="M10" s="17"/>
      <c r="N10" s="14"/>
      <c r="O10" s="17"/>
      <c r="P10" s="14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2"/>
      <c r="B11" s="10"/>
      <c r="C11" s="10"/>
      <c r="D11" s="13"/>
      <c r="E11" s="23"/>
      <c r="F11" s="13"/>
      <c r="G11" s="23"/>
      <c r="H11" s="13"/>
      <c r="I11" s="13"/>
      <c r="J11" s="10"/>
      <c r="K11" s="10"/>
      <c r="L11" s="13"/>
      <c r="M11" s="23"/>
      <c r="N11" s="13"/>
      <c r="O11" s="23"/>
      <c r="P11" s="1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3.75" customHeight="1">
      <c r="A13" s="2"/>
      <c r="B13" s="157" t="s">
        <v>42</v>
      </c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91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7.75" customHeight="1">
      <c r="A15" s="2"/>
      <c r="B15" s="29" t="s">
        <v>44</v>
      </c>
      <c r="C15" s="158" t="s">
        <v>45</v>
      </c>
      <c r="D15" s="142"/>
      <c r="E15" s="142"/>
      <c r="F15" s="142"/>
      <c r="G15" s="142"/>
      <c r="H15" s="142"/>
      <c r="I15" s="142"/>
      <c r="J15" s="143"/>
      <c r="K15" s="153" t="s">
        <v>48</v>
      </c>
      <c r="L15" s="143"/>
      <c r="M15" s="153" t="s">
        <v>50</v>
      </c>
      <c r="N15" s="143"/>
      <c r="O15" s="153" t="s">
        <v>51</v>
      </c>
      <c r="P15" s="1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 customHeight="1">
      <c r="A16" s="2"/>
      <c r="B16" s="30">
        <v>1</v>
      </c>
      <c r="C16" s="159" t="str">
        <f>+'POTA ENTERA'!O81</f>
        <v>CUADRILLA LUIS</v>
      </c>
      <c r="D16" s="142"/>
      <c r="E16" s="142"/>
      <c r="F16" s="142"/>
      <c r="G16" s="142"/>
      <c r="H16" s="142"/>
      <c r="I16" s="142"/>
      <c r="J16" s="143"/>
      <c r="K16" s="160"/>
      <c r="L16" s="143"/>
      <c r="M16" s="161">
        <f>+'POTA ENTERA'!Q81</f>
        <v>19971.800000000003</v>
      </c>
      <c r="N16" s="143"/>
      <c r="O16" s="160">
        <v>160</v>
      </c>
      <c r="P16" s="1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0.25" customHeight="1">
      <c r="A17" s="2"/>
      <c r="B17" s="30">
        <v>2</v>
      </c>
      <c r="C17" s="160"/>
      <c r="D17" s="142"/>
      <c r="E17" s="142"/>
      <c r="F17" s="142"/>
      <c r="G17" s="142"/>
      <c r="H17" s="142"/>
      <c r="I17" s="142"/>
      <c r="J17" s="143"/>
      <c r="K17" s="160"/>
      <c r="L17" s="143"/>
      <c r="M17" s="160"/>
      <c r="N17" s="143"/>
      <c r="O17" s="160"/>
      <c r="P17" s="1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4" customHeight="1">
      <c r="A18" s="2"/>
      <c r="B18" s="35"/>
      <c r="C18" s="154"/>
      <c r="D18" s="113"/>
      <c r="E18" s="113"/>
      <c r="F18" s="113"/>
      <c r="G18" s="113"/>
      <c r="H18" s="37"/>
      <c r="I18" s="154"/>
      <c r="J18" s="113"/>
      <c r="K18" s="155" t="s">
        <v>55</v>
      </c>
      <c r="L18" s="143"/>
      <c r="M18" s="156">
        <f>+M16*O16/1000</f>
        <v>3195.4880000000003</v>
      </c>
      <c r="N18" s="142"/>
      <c r="O18" s="142"/>
      <c r="P18" s="1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4.5" customHeight="1">
      <c r="A21" s="2"/>
      <c r="B21" s="157" t="s">
        <v>57</v>
      </c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91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4" customHeight="1">
      <c r="A23" s="2"/>
      <c r="B23" s="29" t="s">
        <v>44</v>
      </c>
      <c r="C23" s="158" t="s">
        <v>45</v>
      </c>
      <c r="D23" s="142"/>
      <c r="E23" s="142"/>
      <c r="F23" s="142"/>
      <c r="G23" s="142"/>
      <c r="H23" s="142"/>
      <c r="I23" s="142"/>
      <c r="J23" s="143"/>
      <c r="K23" s="153" t="s">
        <v>62</v>
      </c>
      <c r="L23" s="143"/>
      <c r="M23" s="153" t="s">
        <v>50</v>
      </c>
      <c r="N23" s="143"/>
      <c r="O23" s="153" t="s">
        <v>51</v>
      </c>
      <c r="P23" s="143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5" customHeight="1">
      <c r="A24" s="2"/>
      <c r="B24" s="30">
        <v>1</v>
      </c>
      <c r="C24" s="159" t="str">
        <f>+C16</f>
        <v>CUADRILLA LUIS</v>
      </c>
      <c r="D24" s="142"/>
      <c r="E24" s="142"/>
      <c r="F24" s="142"/>
      <c r="G24" s="142"/>
      <c r="H24" s="142"/>
      <c r="I24" s="142"/>
      <c r="J24" s="143"/>
      <c r="K24" s="160"/>
      <c r="L24" s="143"/>
      <c r="M24" s="161">
        <f>+M16*0.4</f>
        <v>7988.7200000000012</v>
      </c>
      <c r="N24" s="143"/>
      <c r="O24" s="160">
        <v>150</v>
      </c>
      <c r="P24" s="143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4" customHeight="1">
      <c r="A25" s="2"/>
      <c r="B25" s="30">
        <v>2</v>
      </c>
      <c r="C25" s="160"/>
      <c r="D25" s="142"/>
      <c r="E25" s="142"/>
      <c r="F25" s="142"/>
      <c r="G25" s="142"/>
      <c r="H25" s="142"/>
      <c r="I25" s="142"/>
      <c r="J25" s="143"/>
      <c r="K25" s="160"/>
      <c r="L25" s="143"/>
      <c r="M25" s="160"/>
      <c r="N25" s="143"/>
      <c r="O25" s="160"/>
      <c r="P25" s="143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4" customHeight="1">
      <c r="A26" s="2"/>
      <c r="B26" s="35"/>
      <c r="C26" s="154"/>
      <c r="D26" s="113"/>
      <c r="E26" s="113"/>
      <c r="F26" s="113"/>
      <c r="G26" s="113"/>
      <c r="H26" s="37"/>
      <c r="I26" s="154"/>
      <c r="J26" s="113"/>
      <c r="K26" s="155" t="s">
        <v>55</v>
      </c>
      <c r="L26" s="143"/>
      <c r="M26" s="156">
        <f>+M24*O24/1000</f>
        <v>1198.3080000000002</v>
      </c>
      <c r="N26" s="142"/>
      <c r="O26" s="142"/>
      <c r="P26" s="143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4.5" customHeight="1">
      <c r="A29" s="2"/>
      <c r="B29" s="157" t="s">
        <v>66</v>
      </c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91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4" customHeight="1">
      <c r="A31" s="2"/>
      <c r="B31" s="29" t="s">
        <v>44</v>
      </c>
      <c r="C31" s="158" t="s">
        <v>45</v>
      </c>
      <c r="D31" s="142"/>
      <c r="E31" s="142"/>
      <c r="F31" s="142"/>
      <c r="G31" s="142"/>
      <c r="H31" s="142"/>
      <c r="I31" s="142"/>
      <c r="J31" s="143"/>
      <c r="K31" s="153" t="s">
        <v>67</v>
      </c>
      <c r="L31" s="143"/>
      <c r="M31" s="153" t="s">
        <v>50</v>
      </c>
      <c r="N31" s="143"/>
      <c r="O31" s="153" t="s">
        <v>51</v>
      </c>
      <c r="P31" s="143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5.5" customHeight="1">
      <c r="A32" s="2"/>
      <c r="B32" s="30">
        <v>1</v>
      </c>
      <c r="C32" s="159" t="str">
        <f>+C24</f>
        <v>CUADRILLA LUIS</v>
      </c>
      <c r="D32" s="142"/>
      <c r="E32" s="142"/>
      <c r="F32" s="142"/>
      <c r="G32" s="142"/>
      <c r="H32" s="142"/>
      <c r="I32" s="142"/>
      <c r="J32" s="143"/>
      <c r="K32" s="160"/>
      <c r="L32" s="143"/>
      <c r="M32" s="161">
        <v>130</v>
      </c>
      <c r="N32" s="143"/>
      <c r="O32" s="160">
        <v>100</v>
      </c>
      <c r="P32" s="143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4" customHeight="1">
      <c r="A33" s="2"/>
      <c r="B33" s="30">
        <v>2</v>
      </c>
      <c r="C33" s="160"/>
      <c r="D33" s="142"/>
      <c r="E33" s="142"/>
      <c r="F33" s="142"/>
      <c r="G33" s="142"/>
      <c r="H33" s="142"/>
      <c r="I33" s="142"/>
      <c r="J33" s="143"/>
      <c r="K33" s="160"/>
      <c r="L33" s="143"/>
      <c r="M33" s="160"/>
      <c r="N33" s="143"/>
      <c r="O33" s="160"/>
      <c r="P33" s="143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>
      <c r="A34" s="2"/>
      <c r="B34" s="35"/>
      <c r="C34" s="154"/>
      <c r="D34" s="113"/>
      <c r="E34" s="113"/>
      <c r="F34" s="113"/>
      <c r="G34" s="113"/>
      <c r="H34" s="37"/>
      <c r="I34" s="154"/>
      <c r="J34" s="113"/>
      <c r="K34" s="155" t="s">
        <v>55</v>
      </c>
      <c r="L34" s="143"/>
      <c r="M34" s="156">
        <f>+M32*O32/1000</f>
        <v>13</v>
      </c>
      <c r="N34" s="142"/>
      <c r="O34" s="142"/>
      <c r="P34" s="143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35"/>
      <c r="C35" s="36"/>
      <c r="D35" s="36"/>
      <c r="E35" s="36"/>
      <c r="F35" s="36"/>
      <c r="G35" s="36"/>
      <c r="H35" s="37"/>
      <c r="I35" s="36"/>
      <c r="J35" s="36"/>
      <c r="K35" s="2"/>
      <c r="L35" s="2"/>
      <c r="M35" s="59"/>
      <c r="N35" s="59"/>
      <c r="O35" s="59"/>
      <c r="P35" s="59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3.75" customHeight="1">
      <c r="A36" s="2"/>
      <c r="B36" s="35"/>
      <c r="C36" s="36"/>
      <c r="D36" s="36"/>
      <c r="E36" s="36"/>
      <c r="F36" s="36"/>
      <c r="G36" s="36"/>
      <c r="H36" s="37"/>
      <c r="I36" s="36"/>
      <c r="J36" s="36"/>
      <c r="K36" s="184" t="s">
        <v>69</v>
      </c>
      <c r="L36" s="119"/>
      <c r="M36" s="91"/>
      <c r="N36" s="185">
        <f>+M18+M26+M34</f>
        <v>4406.7960000000003</v>
      </c>
      <c r="O36" s="119"/>
      <c r="P36" s="91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>
      <c r="A37" s="2"/>
      <c r="B37" s="60" t="s">
        <v>70</v>
      </c>
      <c r="C37" s="36"/>
      <c r="D37" s="61"/>
      <c r="E37" s="61"/>
      <c r="F37" s="61"/>
      <c r="G37" s="61"/>
      <c r="H37" s="62"/>
      <c r="I37" s="61"/>
      <c r="J37" s="61"/>
      <c r="K37" s="63"/>
      <c r="L37" s="63"/>
      <c r="M37" s="61"/>
      <c r="N37" s="61"/>
      <c r="O37" s="61"/>
      <c r="P37" s="61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" customHeight="1">
      <c r="A38" s="2"/>
      <c r="B38" s="64"/>
      <c r="C38" s="61"/>
      <c r="D38" s="61"/>
      <c r="E38" s="61"/>
      <c r="F38" s="61"/>
      <c r="G38" s="61"/>
      <c r="H38" s="62"/>
      <c r="I38" s="61"/>
      <c r="J38" s="61"/>
      <c r="K38" s="63"/>
      <c r="L38" s="63"/>
      <c r="M38" s="61"/>
      <c r="N38" s="61"/>
      <c r="O38" s="61"/>
      <c r="P38" s="61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2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2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2"/>
      <c r="B43" s="65"/>
      <c r="C43" s="165" t="s">
        <v>71</v>
      </c>
      <c r="D43" s="166"/>
      <c r="E43" s="166"/>
      <c r="F43" s="166"/>
      <c r="G43" s="65"/>
      <c r="H43" s="65"/>
      <c r="I43" s="65"/>
      <c r="J43" s="165" t="s">
        <v>72</v>
      </c>
      <c r="K43" s="166"/>
      <c r="L43" s="166"/>
      <c r="M43" s="166"/>
      <c r="N43" s="65"/>
      <c r="O43" s="65"/>
      <c r="P43" s="65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2"/>
      <c r="B45" s="167" t="s">
        <v>73</v>
      </c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3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8.5" customHeight="1">
      <c r="A46" s="2"/>
      <c r="B46" s="168" t="s">
        <v>74</v>
      </c>
      <c r="C46" s="169"/>
      <c r="D46" s="163" t="str">
        <f>+D10</f>
        <v>OMAR ESCOBEDO</v>
      </c>
      <c r="E46" s="142"/>
      <c r="F46" s="142"/>
      <c r="G46" s="142"/>
      <c r="H46" s="142"/>
      <c r="I46" s="142"/>
      <c r="J46" s="143"/>
      <c r="K46" s="162" t="s">
        <v>54</v>
      </c>
      <c r="L46" s="143"/>
      <c r="M46" s="170">
        <f>+G8</f>
        <v>46227</v>
      </c>
      <c r="N46" s="142"/>
      <c r="O46" s="142"/>
      <c r="P46" s="143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8.5" customHeight="1">
      <c r="A47" s="2"/>
      <c r="B47" s="162" t="s">
        <v>75</v>
      </c>
      <c r="C47" s="143"/>
      <c r="D47" s="163" t="s">
        <v>76</v>
      </c>
      <c r="E47" s="142"/>
      <c r="F47" s="142"/>
      <c r="G47" s="142"/>
      <c r="H47" s="142"/>
      <c r="I47" s="142"/>
      <c r="J47" s="143"/>
      <c r="K47" s="162" t="s">
        <v>77</v>
      </c>
      <c r="L47" s="164"/>
      <c r="M47" s="163"/>
      <c r="N47" s="142"/>
      <c r="O47" s="142"/>
      <c r="P47" s="143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8">
    <mergeCell ref="M34:P34"/>
    <mergeCell ref="K36:M36"/>
    <mergeCell ref="N36:P36"/>
    <mergeCell ref="C17:J17"/>
    <mergeCell ref="K17:L17"/>
    <mergeCell ref="C33:J33"/>
    <mergeCell ref="C34:G34"/>
    <mergeCell ref="I34:J34"/>
    <mergeCell ref="K34:L34"/>
    <mergeCell ref="C15:J15"/>
    <mergeCell ref="C16:J16"/>
    <mergeCell ref="K16:L16"/>
    <mergeCell ref="M16:N16"/>
    <mergeCell ref="O16:P16"/>
    <mergeCell ref="K15:L15"/>
    <mergeCell ref="M15:N15"/>
    <mergeCell ref="O15:P15"/>
    <mergeCell ref="M17:N17"/>
    <mergeCell ref="O17:P17"/>
    <mergeCell ref="B9:C9"/>
    <mergeCell ref="B10:C10"/>
    <mergeCell ref="D10:H10"/>
    <mergeCell ref="J10:K10"/>
    <mergeCell ref="B13:P13"/>
    <mergeCell ref="B2:D5"/>
    <mergeCell ref="B7:C7"/>
    <mergeCell ref="D7:H7"/>
    <mergeCell ref="B8:C8"/>
    <mergeCell ref="D8:E8"/>
    <mergeCell ref="G8:H8"/>
    <mergeCell ref="J9:K9"/>
    <mergeCell ref="E2:L5"/>
    <mergeCell ref="M2:N2"/>
    <mergeCell ref="O2:P2"/>
    <mergeCell ref="M3:N3"/>
    <mergeCell ref="O3:P3"/>
    <mergeCell ref="O4:P4"/>
    <mergeCell ref="O5:P5"/>
    <mergeCell ref="M4:N4"/>
    <mergeCell ref="M5:N5"/>
    <mergeCell ref="J7:K7"/>
    <mergeCell ref="M7:O7"/>
    <mergeCell ref="J8:K8"/>
    <mergeCell ref="M8:O8"/>
    <mergeCell ref="B47:C47"/>
    <mergeCell ref="D47:J47"/>
    <mergeCell ref="K47:L47"/>
    <mergeCell ref="M47:P47"/>
    <mergeCell ref="C43:F43"/>
    <mergeCell ref="J43:M43"/>
    <mergeCell ref="B45:P45"/>
    <mergeCell ref="B46:C46"/>
    <mergeCell ref="D46:J46"/>
    <mergeCell ref="K46:L46"/>
    <mergeCell ref="M46:P46"/>
    <mergeCell ref="C31:J31"/>
    <mergeCell ref="O31:P31"/>
    <mergeCell ref="K33:L33"/>
    <mergeCell ref="M33:N33"/>
    <mergeCell ref="K31:L31"/>
    <mergeCell ref="M31:N31"/>
    <mergeCell ref="C32:J32"/>
    <mergeCell ref="K32:L32"/>
    <mergeCell ref="M32:N32"/>
    <mergeCell ref="O32:P32"/>
    <mergeCell ref="O33:P33"/>
    <mergeCell ref="C26:G26"/>
    <mergeCell ref="I26:J26"/>
    <mergeCell ref="K26:L26"/>
    <mergeCell ref="M26:P26"/>
    <mergeCell ref="B29:P29"/>
    <mergeCell ref="C24:J24"/>
    <mergeCell ref="K24:L24"/>
    <mergeCell ref="M24:N24"/>
    <mergeCell ref="O24:P24"/>
    <mergeCell ref="K25:L25"/>
    <mergeCell ref="M25:N25"/>
    <mergeCell ref="O25:P25"/>
    <mergeCell ref="C25:J25"/>
    <mergeCell ref="M23:N23"/>
    <mergeCell ref="O23:P23"/>
    <mergeCell ref="C18:G18"/>
    <mergeCell ref="I18:J18"/>
    <mergeCell ref="K18:L18"/>
    <mergeCell ref="M18:P18"/>
    <mergeCell ref="B21:P21"/>
    <mergeCell ref="C23:J23"/>
    <mergeCell ref="K23:L23"/>
  </mergeCells>
  <pageMargins left="0.28000000000000003" right="0.11811023622047245" top="0.41" bottom="0.2800000000000000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POTA ENTERA</vt:lpstr>
      <vt:lpstr>CUADRILLA 1</vt:lpstr>
      <vt:lpstr>CUADRILLA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supervisores</dc:creator>
  <cp:lastModifiedBy>CRISTHIAN CRUZADO</cp:lastModifiedBy>
  <dcterms:created xsi:type="dcterms:W3CDTF">2026-04-22T16:24:39Z</dcterms:created>
  <dcterms:modified xsi:type="dcterms:W3CDTF">2026-08-03T05:53:41Z</dcterms:modified>
</cp:coreProperties>
</file>